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6815" windowHeight="7350" activeTab="1"/>
  </bookViews>
  <sheets>
    <sheet name="Feuil1" sheetId="1" r:id="rId1"/>
    <sheet name="Feuil2" sheetId="2" r:id="rId2"/>
  </sheets>
  <definedNames>
    <definedName name="_xlnm.Print_Area" localSheetId="1">Feuil2!$A$1:$B$14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2" i="1" l="1"/>
  <c r="E59" i="1"/>
  <c r="E60" i="1" s="1"/>
  <c r="E41" i="1"/>
</calcChain>
</file>

<file path=xl/sharedStrings.xml><?xml version="1.0" encoding="utf-8"?>
<sst xmlns="http://schemas.openxmlformats.org/spreadsheetml/2006/main" count="819" uniqueCount="81">
  <si>
    <t>i</t>
  </si>
  <si>
    <t>t</t>
  </si>
  <si>
    <t>Années</t>
  </si>
  <si>
    <t>Countries</t>
  </si>
  <si>
    <t>Dev fin</t>
  </si>
  <si>
    <t>inf_mimic</t>
  </si>
  <si>
    <t xml:space="preserve">RN AI 10% les + </t>
  </si>
  <si>
    <t xml:space="preserve">RN AI 1% les + </t>
  </si>
  <si>
    <t xml:space="preserve">RN AI 50% les - </t>
  </si>
  <si>
    <t>Control of Corruption</t>
  </si>
  <si>
    <t>Government Effectiveness</t>
  </si>
  <si>
    <t>Croiss Pop</t>
  </si>
  <si>
    <t>Urbanisation</t>
  </si>
  <si>
    <t>Log GDP</t>
  </si>
  <si>
    <t>MPI 
Value</t>
  </si>
  <si>
    <t>EDUC</t>
  </si>
  <si>
    <t>Benin</t>
  </si>
  <si>
    <t>Lower-middle income</t>
  </si>
  <si>
    <t>Burkina Faso</t>
  </si>
  <si>
    <t>Low income</t>
  </si>
  <si>
    <t>Burundi</t>
  </si>
  <si>
    <t>Cameroon</t>
  </si>
  <si>
    <t>Central African Republic</t>
  </si>
  <si>
    <t>Chad</t>
  </si>
  <si>
    <t>Comoros</t>
  </si>
  <si>
    <t>Congo, Dem, Rep,</t>
  </si>
  <si>
    <t>Congo, Rep,</t>
  </si>
  <si>
    <t>Cote d'Ivoire</t>
  </si>
  <si>
    <t xml:space="preserve">Lower-middle income </t>
  </si>
  <si>
    <t>Djibouti</t>
  </si>
  <si>
    <t>Egypt, Arab Rep,</t>
  </si>
  <si>
    <t>Ethiopia</t>
  </si>
  <si>
    <t>Gabon</t>
  </si>
  <si>
    <t xml:space="preserve">Upper-middle income </t>
  </si>
  <si>
    <t>Gambia, The</t>
  </si>
  <si>
    <t>Ghana</t>
  </si>
  <si>
    <t>Guinea</t>
  </si>
  <si>
    <t>Guinea-Bissau</t>
  </si>
  <si>
    <t>Kenya</t>
  </si>
  <si>
    <t>Lesotho</t>
  </si>
  <si>
    <t>Liberia</t>
  </si>
  <si>
    <t xml:space="preserve">Low income </t>
  </si>
  <si>
    <t>Madagascar</t>
  </si>
  <si>
    <t>Malawi</t>
  </si>
  <si>
    <t>Mali</t>
  </si>
  <si>
    <t>Mauritania</t>
  </si>
  <si>
    <t>Morocco</t>
  </si>
  <si>
    <t>Mozambique</t>
  </si>
  <si>
    <t>Namibia</t>
  </si>
  <si>
    <t>Upper-middle income</t>
  </si>
  <si>
    <t>Niger</t>
  </si>
  <si>
    <t>Nigeria</t>
  </si>
  <si>
    <t>Rwanda</t>
  </si>
  <si>
    <t>Sao Tome and Principe</t>
  </si>
  <si>
    <t>Senegal</t>
  </si>
  <si>
    <t>Sierra Leone</t>
  </si>
  <si>
    <t>South Africa</t>
  </si>
  <si>
    <t>Somalia</t>
  </si>
  <si>
    <t>Sudan</t>
  </si>
  <si>
    <t>Tanzania</t>
  </si>
  <si>
    <t>Togo</t>
  </si>
  <si>
    <t>Tunisia</t>
  </si>
  <si>
    <t>Uganda</t>
  </si>
  <si>
    <t>Zambia</t>
  </si>
  <si>
    <t>Zimbabwe</t>
  </si>
  <si>
    <t>Income group</t>
  </si>
  <si>
    <t>MPI Value</t>
  </si>
  <si>
    <t>Mutidimensionnal poverty index</t>
  </si>
  <si>
    <t>Variable</t>
  </si>
  <si>
    <t>Description</t>
  </si>
  <si>
    <t>Informatility rate</t>
  </si>
  <si>
    <t>Financial development</t>
  </si>
  <si>
    <t>Level Income Group of the country</t>
  </si>
  <si>
    <t>Inequality 1</t>
  </si>
  <si>
    <t>Inequality 2</t>
  </si>
  <si>
    <t>Inequality 3</t>
  </si>
  <si>
    <t>Corruption</t>
  </si>
  <si>
    <t>Gouvernance</t>
  </si>
  <si>
    <t>Population growth</t>
  </si>
  <si>
    <t>Grosse Domestic Product per capita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</si>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</sst>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_-;\-* #,##0_-;_-* &quot;-&quot;??_-;_-@_-"/>
    <numFmt numFmtId="165" formatCode="0.000"/>
    <numFmt numFmtId="166" formatCode="_-* #,##0.000000_-;\-* #,##0.000000_-;_-* &quot;-&quot;??_-;_-@_-"/>
    <numFmt numFmtId="167" formatCode="0.0000"/>
    <numFmt numFmtId="168" formatCode="0.000000"/>
    <numFmt numFmtId="169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sz val="11"/>
      <name val="Garamond"/>
      <family val="1"/>
    </font>
    <font>
      <b/>
      <sz val="11"/>
      <color indexed="8"/>
      <name val="Garamond"/>
      <family val="1"/>
    </font>
    <font>
      <sz val="11"/>
      <color theme="1"/>
      <name val="Garamond"/>
      <family val="1"/>
    </font>
    <font>
      <sz val="11"/>
      <name val="Garamond"/>
      <family val="1"/>
    </font>
    <font>
      <sz val="11"/>
      <color rgb="FF230050"/>
      <name val="Garamond"/>
      <family val="1"/>
    </font>
    <font>
      <sz val="11"/>
      <color indexed="8"/>
      <name val="Garamond"/>
      <family val="1"/>
    </font>
    <font>
      <sz val="11"/>
      <color theme="5"/>
      <name val="Garamond"/>
      <family val="1"/>
    </font>
    <font>
      <sz val="11"/>
      <color theme="5" tint="-0.249977111117893"/>
      <name val="Garamond"/>
      <family val="1"/>
    </font>
    <font>
      <sz val="11"/>
      <color rgb="FF00B0F0"/>
      <name val="Garamond"/>
      <family val="1"/>
    </font>
    <font>
      <sz val="16"/>
      <color theme="1"/>
      <name val="Calibri"/>
      <family val="2"/>
      <scheme val="minor"/>
    </font>
    <font>
      <b/>
      <sz val="16"/>
      <color indexed="8"/>
      <name val="Garamond"/>
      <family val="1"/>
    </font>
    <font>
      <b/>
      <sz val="16"/>
      <color theme="1"/>
      <name val="Garamond"/>
      <family val="1"/>
    </font>
    <font>
      <b/>
      <sz val="16"/>
      <name val="Garamond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horizontal="left" vertical="center"/>
    </xf>
    <xf numFmtId="43" fontId="6" fillId="7" borderId="1" xfId="1" applyFont="1" applyFill="1" applyBorder="1" applyAlignment="1">
      <alignment horizontal="left" vertical="center"/>
    </xf>
    <xf numFmtId="165" fontId="8" fillId="3" borderId="1" xfId="0" applyNumberFormat="1" applyFont="1" applyFill="1" applyBorder="1" applyAlignment="1">
      <alignment horizontal="left" vertical="center"/>
    </xf>
    <xf numFmtId="165" fontId="9" fillId="3" borderId="1" xfId="0" applyNumberFormat="1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left" vertical="center"/>
    </xf>
    <xf numFmtId="43" fontId="6" fillId="8" borderId="1" xfId="1" applyFont="1" applyFill="1" applyBorder="1" applyAlignment="1">
      <alignment horizontal="left" vertical="center"/>
    </xf>
    <xf numFmtId="168" fontId="6" fillId="3" borderId="1" xfId="0" applyNumberFormat="1" applyFont="1" applyFill="1" applyBorder="1" applyAlignment="1">
      <alignment horizontal="left" vertical="center"/>
    </xf>
    <xf numFmtId="43" fontId="6" fillId="5" borderId="1" xfId="1" applyFont="1" applyFill="1" applyBorder="1" applyAlignment="1">
      <alignment horizontal="left" vertical="center"/>
    </xf>
    <xf numFmtId="43" fontId="6" fillId="2" borderId="1" xfId="1" applyFont="1" applyFill="1" applyBorder="1" applyAlignment="1">
      <alignment horizontal="left" vertical="center"/>
    </xf>
    <xf numFmtId="43" fontId="6" fillId="9" borderId="1" xfId="1" applyFont="1" applyFill="1" applyBorder="1" applyAlignment="1">
      <alignment horizontal="left" vertical="center"/>
    </xf>
    <xf numFmtId="165" fontId="11" fillId="3" borderId="1" xfId="0" applyNumberFormat="1" applyFont="1" applyFill="1" applyBorder="1" applyAlignment="1">
      <alignment horizontal="left" vertical="center"/>
    </xf>
    <xf numFmtId="43" fontId="6" fillId="10" borderId="1" xfId="1" applyFont="1" applyFill="1" applyBorder="1" applyAlignment="1">
      <alignment horizontal="left" vertical="center"/>
    </xf>
    <xf numFmtId="43" fontId="6" fillId="11" borderId="1" xfId="1" applyFont="1" applyFill="1" applyBorder="1" applyAlignment="1">
      <alignment horizontal="left" vertical="center"/>
    </xf>
    <xf numFmtId="165" fontId="10" fillId="3" borderId="1" xfId="0" applyNumberFormat="1" applyFont="1" applyFill="1" applyBorder="1" applyAlignment="1">
      <alignment horizontal="left" vertical="center"/>
    </xf>
    <xf numFmtId="167" fontId="11" fillId="3" borderId="1" xfId="0" applyNumberFormat="1" applyFont="1" applyFill="1" applyBorder="1" applyAlignment="1">
      <alignment horizontal="left" vertical="center"/>
    </xf>
    <xf numFmtId="43" fontId="6" fillId="6" borderId="1" xfId="1" applyFont="1" applyFill="1" applyBorder="1" applyAlignment="1">
      <alignment horizontal="left" vertical="center"/>
    </xf>
    <xf numFmtId="43" fontId="6" fillId="12" borderId="1" xfId="1" applyFont="1" applyFill="1" applyBorder="1" applyAlignment="1">
      <alignment horizontal="left" vertical="center"/>
    </xf>
    <xf numFmtId="43" fontId="6" fillId="13" borderId="1" xfId="1" applyFont="1" applyFill="1" applyBorder="1" applyAlignment="1">
      <alignment horizontal="left" vertical="center"/>
    </xf>
    <xf numFmtId="43" fontId="6" fillId="14" borderId="1" xfId="1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3" fontId="6" fillId="15" borderId="1" xfId="1" applyFont="1" applyFill="1" applyBorder="1" applyAlignment="1">
      <alignment horizontal="left" vertical="center"/>
    </xf>
    <xf numFmtId="167" fontId="6" fillId="3" borderId="1" xfId="0" applyNumberFormat="1" applyFont="1" applyFill="1" applyBorder="1" applyAlignment="1">
      <alignment horizontal="left" vertical="center"/>
    </xf>
    <xf numFmtId="43" fontId="6" fillId="16" borderId="1" xfId="1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left" vertical="center"/>
    </xf>
    <xf numFmtId="43" fontId="6" fillId="17" borderId="1" xfId="1" applyFont="1" applyFill="1" applyBorder="1" applyAlignment="1">
      <alignment horizontal="left" vertical="center"/>
    </xf>
    <xf numFmtId="43" fontId="6" fillId="18" borderId="1" xfId="1" applyFont="1" applyFill="1" applyBorder="1" applyAlignment="1">
      <alignment horizontal="left" vertical="center"/>
    </xf>
    <xf numFmtId="169" fontId="6" fillId="3" borderId="1" xfId="0" applyNumberFormat="1" applyFont="1" applyFill="1" applyBorder="1" applyAlignment="1">
      <alignment horizontal="left" vertical="center"/>
    </xf>
    <xf numFmtId="43" fontId="6" fillId="19" borderId="1" xfId="1" applyFont="1" applyFill="1" applyBorder="1" applyAlignment="1">
      <alignment horizontal="left" vertical="center"/>
    </xf>
    <xf numFmtId="43" fontId="6" fillId="20" borderId="1" xfId="1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43" fontId="6" fillId="3" borderId="1" xfId="1" applyFont="1" applyFill="1" applyBorder="1" applyAlignment="1">
      <alignment horizontal="left" vertical="center"/>
    </xf>
    <xf numFmtId="168" fontId="10" fillId="3" borderId="1" xfId="0" applyNumberFormat="1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left" vertical="center"/>
    </xf>
    <xf numFmtId="43" fontId="6" fillId="21" borderId="1" xfId="1" applyFont="1" applyFill="1" applyBorder="1" applyAlignment="1">
      <alignment horizontal="left" vertical="center"/>
    </xf>
    <xf numFmtId="43" fontId="2" fillId="13" borderId="1" xfId="1" applyFont="1" applyFill="1" applyBorder="1" applyAlignment="1">
      <alignment vertical="center"/>
    </xf>
    <xf numFmtId="166" fontId="6" fillId="13" borderId="1" xfId="1" applyNumberFormat="1" applyFont="1" applyFill="1" applyBorder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43" fontId="3" fillId="0" borderId="1" xfId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 wrapText="1"/>
    </xf>
    <xf numFmtId="0" fontId="7" fillId="0" borderId="1" xfId="0" applyFont="1" applyFill="1" applyBorder="1"/>
    <xf numFmtId="0" fontId="0" fillId="0" borderId="1" xfId="0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43" fontId="6" fillId="0" borderId="1" xfId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65" fontId="4" fillId="3" borderId="1" xfId="0" applyNumberFormat="1" applyFont="1" applyFill="1" applyBorder="1" applyAlignment="1">
      <alignment vertical="center" wrapText="1"/>
    </xf>
    <xf numFmtId="165" fontId="4" fillId="0" borderId="1" xfId="0" applyNumberFormat="1" applyFont="1" applyFill="1" applyBorder="1" applyAlignment="1">
      <alignment vertical="center" wrapText="1"/>
    </xf>
    <xf numFmtId="0" fontId="12" fillId="0" borderId="1" xfId="0" applyFont="1" applyBorder="1"/>
    <xf numFmtId="165" fontId="13" fillId="3" borderId="1" xfId="0" applyNumberFormat="1" applyFont="1" applyFill="1" applyBorder="1" applyAlignment="1">
      <alignment vertical="center" wrapText="1"/>
    </xf>
    <xf numFmtId="43" fontId="14" fillId="13" borderId="1" xfId="1" applyFont="1" applyFill="1" applyBorder="1" applyAlignment="1">
      <alignment vertical="center"/>
    </xf>
    <xf numFmtId="43" fontId="15" fillId="0" borderId="1" xfId="1" applyFont="1" applyFill="1" applyBorder="1" applyAlignment="1">
      <alignment vertical="center"/>
    </xf>
    <xf numFmtId="43" fontId="14" fillId="0" borderId="1" xfId="1" applyFont="1" applyFill="1" applyBorder="1" applyAlignment="1">
      <alignment vertical="center"/>
    </xf>
    <xf numFmtId="43" fontId="14" fillId="0" borderId="1" xfId="1" applyFont="1" applyFill="1" applyBorder="1" applyAlignment="1">
      <alignment vertical="center" wrapText="1"/>
    </xf>
    <xf numFmtId="165" fontId="13" fillId="0" borderId="1" xfId="0" applyNumberFormat="1" applyFont="1" applyFill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8"/>
  <sheetViews>
    <sheetView workbookViewId="0">
      <selection activeCell="E1" sqref="E1:Q1"/>
    </sheetView>
  </sheetViews>
  <sheetFormatPr baseColWidth="10" defaultColWidth="11.42578125" defaultRowHeight="15" x14ac:dyDescent="0.25"/>
  <cols>
    <col min="1" max="1" width="3" style="4" bestFit="1" customWidth="1"/>
    <col min="2" max="2" width="2" style="4" bestFit="1" customWidth="1"/>
    <col min="3" max="3" width="9" style="4" bestFit="1" customWidth="1"/>
    <col min="4" max="4" width="22.85546875" style="4" bestFit="1" customWidth="1"/>
    <col min="5" max="5" width="8.42578125" style="4" bestFit="1" customWidth="1"/>
    <col min="6" max="6" width="11.5703125" style="42" bestFit="1" customWidth="1"/>
    <col min="7" max="7" width="12" style="51" bestFit="1" customWidth="1"/>
    <col min="8" max="8" width="20.28515625" style="51" bestFit="1" customWidth="1"/>
    <col min="9" max="9" width="17.140625" style="51" bestFit="1" customWidth="1"/>
    <col min="10" max="10" width="16.140625" style="51" bestFit="1" customWidth="1"/>
    <col min="11" max="11" width="16.5703125" style="51" bestFit="1" customWidth="1"/>
    <col min="12" max="12" width="21.5703125" style="51" bestFit="1" customWidth="1"/>
    <col min="13" max="13" width="25.7109375" style="51" bestFit="1" customWidth="1"/>
    <col min="14" max="14" width="12.140625" style="51" bestFit="1" customWidth="1"/>
    <col min="15" max="15" width="14" style="51" bestFit="1" customWidth="1"/>
    <col min="16" max="16" width="12" style="51" bestFit="1" customWidth="1"/>
    <col min="17" max="17" width="12" style="51" customWidth="1"/>
    <col min="18" max="16384" width="11.42578125" style="4"/>
  </cols>
  <sheetData>
    <row r="1" spans="1:17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52" t="s">
        <v>14</v>
      </c>
      <c r="F1" s="40" t="s">
        <v>5</v>
      </c>
      <c r="G1" s="43" t="s">
        <v>4</v>
      </c>
      <c r="H1" s="44" t="s">
        <v>65</v>
      </c>
      <c r="I1" s="45" t="s">
        <v>6</v>
      </c>
      <c r="J1" s="45" t="s">
        <v>7</v>
      </c>
      <c r="K1" s="45" t="s">
        <v>8</v>
      </c>
      <c r="L1" s="45" t="s">
        <v>9</v>
      </c>
      <c r="M1" s="45" t="s">
        <v>10</v>
      </c>
      <c r="N1" s="44" t="s">
        <v>11</v>
      </c>
      <c r="O1" s="44" t="s">
        <v>12</v>
      </c>
      <c r="P1" s="44" t="s">
        <v>13</v>
      </c>
      <c r="Q1" s="53" t="s">
        <v>15</v>
      </c>
    </row>
    <row r="2" spans="1:17" x14ac:dyDescent="0.25">
      <c r="A2" s="5">
        <v>1</v>
      </c>
      <c r="B2" s="5">
        <v>1</v>
      </c>
      <c r="C2" s="6">
        <v>2010</v>
      </c>
      <c r="D2" s="7" t="s">
        <v>16</v>
      </c>
      <c r="E2" s="8">
        <v>0.41227399999999997</v>
      </c>
      <c r="F2" s="41">
        <v>0.5177333068847656</v>
      </c>
      <c r="G2" s="47">
        <v>0.15834837680315658</v>
      </c>
      <c r="H2" s="46" t="s">
        <v>17</v>
      </c>
      <c r="I2" s="47">
        <v>0.50900000000000001</v>
      </c>
      <c r="J2" s="47">
        <v>0.15260000000000001</v>
      </c>
      <c r="K2" s="47">
        <v>0.13150000000000001</v>
      </c>
      <c r="L2" s="47">
        <v>0.29499999999999998</v>
      </c>
      <c r="M2" s="47">
        <v>0.32500000000000001</v>
      </c>
      <c r="N2" s="47">
        <v>2.8059762328465802E-2</v>
      </c>
      <c r="O2" s="48">
        <v>0.43093000000000004</v>
      </c>
      <c r="P2" s="48">
        <v>2.9676633930580687</v>
      </c>
      <c r="Q2" s="48">
        <v>0.47414600372314503</v>
      </c>
    </row>
    <row r="3" spans="1:17" x14ac:dyDescent="0.25">
      <c r="A3" s="5">
        <v>1</v>
      </c>
      <c r="B3" s="5">
        <v>2</v>
      </c>
      <c r="C3" s="6">
        <v>2011</v>
      </c>
      <c r="D3" s="7" t="s">
        <v>16</v>
      </c>
      <c r="E3" s="8">
        <v>0.41199999999999998</v>
      </c>
      <c r="F3" s="41">
        <v>0.51476146697998049</v>
      </c>
      <c r="G3" s="47">
        <v>0.16574340444037078</v>
      </c>
      <c r="H3" s="46" t="s">
        <v>17</v>
      </c>
      <c r="I3" s="47">
        <v>0.5131</v>
      </c>
      <c r="J3" s="47">
        <v>0.1515</v>
      </c>
      <c r="K3" s="47">
        <v>0.1288</v>
      </c>
      <c r="L3" s="47">
        <v>0.33200000000000002</v>
      </c>
      <c r="M3" s="47">
        <v>0.35499999999999998</v>
      </c>
      <c r="N3" s="47">
        <v>2.8037617548874301E-2</v>
      </c>
      <c r="O3" s="48">
        <v>0.43607999999999997</v>
      </c>
      <c r="P3" s="48">
        <v>2.9674152400654239</v>
      </c>
      <c r="Q3" s="48">
        <v>0.47414600372314503</v>
      </c>
    </row>
    <row r="4" spans="1:17" x14ac:dyDescent="0.25">
      <c r="A4" s="5">
        <v>1</v>
      </c>
      <c r="B4" s="5">
        <v>3</v>
      </c>
      <c r="C4" s="6">
        <v>2012</v>
      </c>
      <c r="D4" s="7" t="s">
        <v>16</v>
      </c>
      <c r="E4" s="9">
        <v>0.41199999999999998</v>
      </c>
      <c r="F4" s="41">
        <v>0.51216865539550782</v>
      </c>
      <c r="G4" s="47">
        <v>0.15647592407948274</v>
      </c>
      <c r="H4" s="46" t="s">
        <v>17</v>
      </c>
      <c r="I4" s="47">
        <v>0.52160000000000006</v>
      </c>
      <c r="J4" s="47">
        <v>0.15740000000000001</v>
      </c>
      <c r="K4" s="47">
        <v>0.12529999999999999</v>
      </c>
      <c r="L4" s="47">
        <v>0.20399999999999999</v>
      </c>
      <c r="M4" s="47">
        <v>0.37</v>
      </c>
      <c r="N4" s="47">
        <v>2.7977211806492402E-2</v>
      </c>
      <c r="O4" s="48">
        <v>0.44124999999999998</v>
      </c>
      <c r="P4" s="48">
        <v>2.9749346229192275</v>
      </c>
      <c r="Q4" s="48">
        <v>0.50750839233398448</v>
      </c>
    </row>
    <row r="5" spans="1:17" x14ac:dyDescent="0.25">
      <c r="A5" s="5">
        <v>1</v>
      </c>
      <c r="B5" s="5">
        <v>4</v>
      </c>
      <c r="C5" s="6">
        <v>2013</v>
      </c>
      <c r="D5" s="7" t="s">
        <v>16</v>
      </c>
      <c r="E5" s="10">
        <v>0.41199999999999998</v>
      </c>
      <c r="F5" s="41">
        <v>0.50396568298339839</v>
      </c>
      <c r="G5" s="47">
        <v>0.16453949848264288</v>
      </c>
      <c r="H5" s="46" t="s">
        <v>17</v>
      </c>
      <c r="I5" s="47">
        <v>0.53010000000000002</v>
      </c>
      <c r="J5" s="47">
        <v>0.1633</v>
      </c>
      <c r="K5" s="47">
        <v>0.1217</v>
      </c>
      <c r="L5" s="47">
        <v>0.24600000000000002</v>
      </c>
      <c r="M5" s="47">
        <v>0.36499999999999999</v>
      </c>
      <c r="N5" s="47">
        <v>2.7907164336058599E-2</v>
      </c>
      <c r="O5" s="48">
        <v>0.44642000000000004</v>
      </c>
      <c r="P5" s="48">
        <v>2.9922880029306107</v>
      </c>
      <c r="Q5" s="48">
        <v>0.54087078094482399</v>
      </c>
    </row>
    <row r="6" spans="1:17" x14ac:dyDescent="0.25">
      <c r="A6" s="5">
        <v>1</v>
      </c>
      <c r="B6" s="5">
        <v>5</v>
      </c>
      <c r="C6" s="6">
        <v>2014</v>
      </c>
      <c r="D6" s="7" t="s">
        <v>16</v>
      </c>
      <c r="E6" s="10">
        <v>0.41240700000000002</v>
      </c>
      <c r="F6" s="41">
        <v>0.49445796966552735</v>
      </c>
      <c r="G6" s="47">
        <v>0.16737109135635589</v>
      </c>
      <c r="H6" s="46" t="s">
        <v>17</v>
      </c>
      <c r="I6" s="47">
        <v>0.53870000000000007</v>
      </c>
      <c r="J6" s="47">
        <v>0.16919999999999999</v>
      </c>
      <c r="K6" s="47">
        <v>0.1182</v>
      </c>
      <c r="L6" s="47">
        <v>0.29799999999999999</v>
      </c>
      <c r="M6" s="47">
        <v>0.35600000000000004</v>
      </c>
      <c r="N6" s="47">
        <v>2.7820923702819501E-2</v>
      </c>
      <c r="O6" s="48">
        <v>0.45165999999999995</v>
      </c>
      <c r="P6" s="48">
        <v>3.0062233712515378</v>
      </c>
      <c r="Q6" s="48">
        <v>0.54732631683349597</v>
      </c>
    </row>
    <row r="7" spans="1:17" x14ac:dyDescent="0.25">
      <c r="A7" s="5">
        <v>1</v>
      </c>
      <c r="B7" s="5">
        <v>6</v>
      </c>
      <c r="C7" s="6">
        <v>2015</v>
      </c>
      <c r="D7" s="7" t="s">
        <v>16</v>
      </c>
      <c r="E7" s="10">
        <v>0.3066625</v>
      </c>
      <c r="F7" s="41">
        <v>0.50340568542480468</v>
      </c>
      <c r="G7" s="47">
        <v>0.16735706436467573</v>
      </c>
      <c r="H7" s="46" t="s">
        <v>17</v>
      </c>
      <c r="I7" s="47">
        <v>0.54720000000000002</v>
      </c>
      <c r="J7" s="47">
        <v>0.17499999999999999</v>
      </c>
      <c r="K7" s="47">
        <v>0.1147</v>
      </c>
      <c r="L7" s="47">
        <v>0.34299999999999997</v>
      </c>
      <c r="M7" s="47">
        <v>0.28600000000000003</v>
      </c>
      <c r="N7" s="47">
        <v>2.7718378857035798E-2</v>
      </c>
      <c r="O7" s="48">
        <v>0.45695000000000002</v>
      </c>
      <c r="P7" s="48">
        <v>3.0010492329159923</v>
      </c>
      <c r="Q7" s="48">
        <v>0.57394958496093795</v>
      </c>
    </row>
    <row r="8" spans="1:17" x14ac:dyDescent="0.25">
      <c r="A8" s="5">
        <v>1</v>
      </c>
      <c r="B8" s="5">
        <v>7</v>
      </c>
      <c r="C8" s="6">
        <v>2016</v>
      </c>
      <c r="D8" s="7" t="s">
        <v>16</v>
      </c>
      <c r="E8" s="10">
        <v>0.3066625</v>
      </c>
      <c r="F8" s="41">
        <v>0.49765403747558595</v>
      </c>
      <c r="G8" s="47">
        <v>0.17482372279853337</v>
      </c>
      <c r="H8" s="46" t="s">
        <v>17</v>
      </c>
      <c r="I8" s="47">
        <v>0.52010000000000001</v>
      </c>
      <c r="J8" s="47">
        <v>0.1641</v>
      </c>
      <c r="K8" s="47">
        <v>0.12740000000000001</v>
      </c>
      <c r="L8" s="47">
        <v>0.35200000000000004</v>
      </c>
      <c r="M8" s="47">
        <v>0.31</v>
      </c>
      <c r="N8" s="47">
        <v>2.7613609281441801E-2</v>
      </c>
      <c r="O8" s="48">
        <v>0.46228999999999998</v>
      </c>
      <c r="P8" s="48">
        <v>3.0026149318437656</v>
      </c>
      <c r="Q8" s="48">
        <v>0.57529670715332004</v>
      </c>
    </row>
    <row r="9" spans="1:17" x14ac:dyDescent="0.25">
      <c r="A9" s="5">
        <v>1</v>
      </c>
      <c r="B9" s="5">
        <v>8</v>
      </c>
      <c r="C9" s="6">
        <v>2017</v>
      </c>
      <c r="D9" s="7" t="s">
        <v>16</v>
      </c>
      <c r="E9" s="10">
        <v>0.30666249990463257</v>
      </c>
      <c r="F9" s="41">
        <v>0.4867591094970703</v>
      </c>
      <c r="G9" s="47">
        <v>0.16577919509506558</v>
      </c>
      <c r="H9" s="46" t="s">
        <v>17</v>
      </c>
      <c r="I9" s="47">
        <v>0.49299999999999999</v>
      </c>
      <c r="J9" s="47">
        <v>0.1532</v>
      </c>
      <c r="K9" s="47">
        <v>0.14019999999999999</v>
      </c>
      <c r="L9" s="47">
        <v>0.33799999999999997</v>
      </c>
      <c r="M9" s="47">
        <v>0.248</v>
      </c>
      <c r="N9" s="47">
        <v>2.74990222166209E-2</v>
      </c>
      <c r="O9" s="48">
        <v>0.46767999999999998</v>
      </c>
      <c r="P9" s="48">
        <v>3.0140602586218073</v>
      </c>
      <c r="Q9" s="48">
        <v>0.57462314605712905</v>
      </c>
    </row>
    <row r="10" spans="1:17" x14ac:dyDescent="0.25">
      <c r="A10" s="5">
        <v>1</v>
      </c>
      <c r="B10" s="5">
        <v>9</v>
      </c>
      <c r="C10" s="6">
        <v>2018</v>
      </c>
      <c r="D10" s="7" t="s">
        <v>16</v>
      </c>
      <c r="E10" s="10">
        <v>0.3462156355381012</v>
      </c>
      <c r="F10" s="41">
        <v>0.4746725082397461</v>
      </c>
      <c r="G10" s="47">
        <v>0.16746415437675377</v>
      </c>
      <c r="H10" s="46" t="s">
        <v>17</v>
      </c>
      <c r="I10" s="47">
        <v>0.46589999999999998</v>
      </c>
      <c r="J10" s="47">
        <v>0.14230000000000001</v>
      </c>
      <c r="K10" s="47">
        <v>0.153</v>
      </c>
      <c r="L10" s="47">
        <v>0.41399999999999998</v>
      </c>
      <c r="M10" s="47">
        <v>0.3</v>
      </c>
      <c r="N10" s="47">
        <v>2.7348562029526898E-2</v>
      </c>
      <c r="O10" s="48">
        <v>0.47311999999999999</v>
      </c>
      <c r="P10" s="48">
        <v>3.0299940080443495</v>
      </c>
      <c r="Q10" s="48">
        <v>0.57495992660522455</v>
      </c>
    </row>
    <row r="11" spans="1:17" x14ac:dyDescent="0.25">
      <c r="A11" s="5">
        <v>2</v>
      </c>
      <c r="B11" s="5">
        <v>1</v>
      </c>
      <c r="C11" s="6">
        <v>2010</v>
      </c>
      <c r="D11" s="11" t="s">
        <v>18</v>
      </c>
      <c r="E11" s="8">
        <v>0.53583289999999995</v>
      </c>
      <c r="F11" s="41">
        <v>0.39935665130615233</v>
      </c>
      <c r="G11" s="47">
        <v>0.15634526298698326</v>
      </c>
      <c r="H11" s="46" t="s">
        <v>19</v>
      </c>
      <c r="I11" s="47">
        <v>0.48780000000000001</v>
      </c>
      <c r="J11" s="47">
        <v>0.1643</v>
      </c>
      <c r="K11" s="47">
        <v>0.14879999999999999</v>
      </c>
      <c r="L11" s="47">
        <v>0.44299999999999995</v>
      </c>
      <c r="M11" s="47">
        <v>0.34</v>
      </c>
      <c r="N11" s="47">
        <v>3.0192128441406098E-2</v>
      </c>
      <c r="O11" s="48">
        <v>0.24632999999999999</v>
      </c>
      <c r="P11" s="48">
        <v>2.7496182373384395</v>
      </c>
      <c r="Q11" s="48">
        <v>0.21283750534057599</v>
      </c>
    </row>
    <row r="12" spans="1:17" x14ac:dyDescent="0.25">
      <c r="A12" s="5">
        <v>2</v>
      </c>
      <c r="B12" s="5">
        <v>2</v>
      </c>
      <c r="C12" s="6">
        <v>2011</v>
      </c>
      <c r="D12" s="11" t="s">
        <v>18</v>
      </c>
      <c r="E12" s="8">
        <v>0.53600000000000003</v>
      </c>
      <c r="F12" s="41">
        <v>0.39623973846435545</v>
      </c>
      <c r="G12" s="47">
        <v>0.15370342137342122</v>
      </c>
      <c r="H12" s="46" t="s">
        <v>19</v>
      </c>
      <c r="I12" s="47">
        <v>0.48190000000000011</v>
      </c>
      <c r="J12" s="47">
        <v>0.15890000000000001</v>
      </c>
      <c r="K12" s="47">
        <v>0.15290000000000001</v>
      </c>
      <c r="L12" s="47">
        <v>0.43099999999999999</v>
      </c>
      <c r="M12" s="47">
        <v>0.34600000000000003</v>
      </c>
      <c r="N12" s="47">
        <v>3.0090451761123301E-2</v>
      </c>
      <c r="O12" s="48">
        <v>0.25196000000000002</v>
      </c>
      <c r="P12" s="48">
        <v>2.7646271299081833</v>
      </c>
      <c r="Q12" s="48">
        <v>0.23285879135131801</v>
      </c>
    </row>
    <row r="13" spans="1:17" x14ac:dyDescent="0.25">
      <c r="A13" s="5">
        <v>2</v>
      </c>
      <c r="B13" s="5">
        <v>3</v>
      </c>
      <c r="C13" s="6">
        <v>2012</v>
      </c>
      <c r="D13" s="11" t="s">
        <v>18</v>
      </c>
      <c r="E13" s="9">
        <v>0.53600000000000003</v>
      </c>
      <c r="F13" s="41">
        <v>0.39524848937988283</v>
      </c>
      <c r="G13" s="47">
        <v>0.16642459171329488</v>
      </c>
      <c r="H13" s="46" t="s">
        <v>19</v>
      </c>
      <c r="I13" s="47">
        <v>0.47599999999999998</v>
      </c>
      <c r="J13" s="47">
        <v>0.15359999999999999</v>
      </c>
      <c r="K13" s="47">
        <v>0.15709999999999999</v>
      </c>
      <c r="L13" s="47">
        <v>0.38400000000000001</v>
      </c>
      <c r="M13" s="47">
        <v>0.313</v>
      </c>
      <c r="N13" s="47">
        <v>2.9974038122143498E-2</v>
      </c>
      <c r="O13" s="48">
        <v>0.25767000000000001</v>
      </c>
      <c r="P13" s="48">
        <v>2.7786802922434752</v>
      </c>
      <c r="Q13" s="48">
        <v>0.25348520278930697</v>
      </c>
    </row>
    <row r="14" spans="1:17" x14ac:dyDescent="0.25">
      <c r="A14" s="5">
        <v>2</v>
      </c>
      <c r="B14" s="5">
        <v>4</v>
      </c>
      <c r="C14" s="6">
        <v>2013</v>
      </c>
      <c r="D14" s="11" t="s">
        <v>18</v>
      </c>
      <c r="E14" s="10">
        <v>0.53500000000000003</v>
      </c>
      <c r="F14" s="41">
        <v>0.39497940063476561</v>
      </c>
      <c r="G14" s="47">
        <v>0.20821037983820179</v>
      </c>
      <c r="H14" s="46" t="s">
        <v>19</v>
      </c>
      <c r="I14" s="47">
        <v>0.47</v>
      </c>
      <c r="J14" s="47">
        <v>0.1482</v>
      </c>
      <c r="K14" s="47">
        <v>0.16120000000000001</v>
      </c>
      <c r="L14" s="47">
        <v>0.36499999999999999</v>
      </c>
      <c r="M14" s="47">
        <v>0.29399999999999998</v>
      </c>
      <c r="N14" s="47">
        <v>2.9816639841310503E-2</v>
      </c>
      <c r="O14" s="48">
        <v>0.26346000000000003</v>
      </c>
      <c r="P14" s="48">
        <v>2.7901030538179352</v>
      </c>
      <c r="Q14" s="48">
        <v>0.27732999801635699</v>
      </c>
    </row>
    <row r="15" spans="1:17" x14ac:dyDescent="0.25">
      <c r="A15" s="5">
        <v>2</v>
      </c>
      <c r="B15" s="5">
        <v>5</v>
      </c>
      <c r="C15" s="6">
        <v>2014</v>
      </c>
      <c r="D15" s="11" t="s">
        <v>18</v>
      </c>
      <c r="E15" s="10">
        <v>0.53516200000000003</v>
      </c>
      <c r="F15" s="41">
        <v>0.39235431671142579</v>
      </c>
      <c r="G15" s="47">
        <v>0.23405608156112867</v>
      </c>
      <c r="H15" s="46" t="s">
        <v>19</v>
      </c>
      <c r="I15" s="47">
        <v>0.46410000000000001</v>
      </c>
      <c r="J15" s="47">
        <v>0.1429</v>
      </c>
      <c r="K15" s="47">
        <v>0.1653</v>
      </c>
      <c r="L15" s="47">
        <v>0.38900000000000001</v>
      </c>
      <c r="M15" s="47">
        <v>0.28399999999999997</v>
      </c>
      <c r="N15" s="47">
        <v>2.9618753331277801E-2</v>
      </c>
      <c r="O15" s="48">
        <v>0.26934000000000002</v>
      </c>
      <c r="P15" s="48">
        <v>2.7955859074939178</v>
      </c>
      <c r="Q15" s="48">
        <v>0.29732629776001002</v>
      </c>
    </row>
    <row r="16" spans="1:17" x14ac:dyDescent="0.25">
      <c r="A16" s="5">
        <v>2</v>
      </c>
      <c r="B16" s="5">
        <v>6</v>
      </c>
      <c r="C16" s="6">
        <v>2015</v>
      </c>
      <c r="D16" s="11" t="s">
        <v>18</v>
      </c>
      <c r="E16" s="12">
        <v>0.53516220000000003</v>
      </c>
      <c r="F16" s="41">
        <v>0.39321399688720704</v>
      </c>
      <c r="G16" s="47">
        <v>0.25037770562270356</v>
      </c>
      <c r="H16" s="46" t="s">
        <v>19</v>
      </c>
      <c r="I16" s="47">
        <v>0.48</v>
      </c>
      <c r="J16" s="47">
        <v>0.1484</v>
      </c>
      <c r="K16" s="47">
        <v>0.15659999999999999</v>
      </c>
      <c r="L16" s="47">
        <v>0.47600000000000003</v>
      </c>
      <c r="M16" s="47">
        <v>0.27600000000000002</v>
      </c>
      <c r="N16" s="47">
        <v>2.9393505679096901E-2</v>
      </c>
      <c r="O16" s="48">
        <v>0.27529999999999999</v>
      </c>
      <c r="P16" s="48">
        <v>2.7994265386597887</v>
      </c>
      <c r="Q16" s="48">
        <v>0.33090248107910197</v>
      </c>
    </row>
    <row r="17" spans="1:17" x14ac:dyDescent="0.25">
      <c r="A17" s="5">
        <v>2</v>
      </c>
      <c r="B17" s="5">
        <v>7</v>
      </c>
      <c r="C17" s="6">
        <v>2016</v>
      </c>
      <c r="D17" s="11" t="s">
        <v>18</v>
      </c>
      <c r="E17" s="10">
        <v>0.53516220000000003</v>
      </c>
      <c r="F17" s="41">
        <v>0.39034542083740237</v>
      </c>
      <c r="G17" s="47">
        <v>0.25809945602652579</v>
      </c>
      <c r="H17" s="46" t="s">
        <v>19</v>
      </c>
      <c r="I17" s="47">
        <v>0.49580000000000002</v>
      </c>
      <c r="J17" s="47">
        <v>0.15390000000000001</v>
      </c>
      <c r="K17" s="47">
        <v>0.1479</v>
      </c>
      <c r="L17" s="47">
        <v>0.52400000000000002</v>
      </c>
      <c r="M17" s="47">
        <v>0.29499999999999998</v>
      </c>
      <c r="N17" s="47">
        <v>2.91521308067141E-2</v>
      </c>
      <c r="O17" s="48">
        <v>0.28133999999999998</v>
      </c>
      <c r="P17" s="48">
        <v>2.8118567234605076</v>
      </c>
      <c r="Q17" s="48">
        <v>0.35150848388671901</v>
      </c>
    </row>
    <row r="18" spans="1:17" x14ac:dyDescent="0.25">
      <c r="A18" s="5">
        <v>2</v>
      </c>
      <c r="B18" s="5">
        <v>8</v>
      </c>
      <c r="C18" s="6">
        <v>2017</v>
      </c>
      <c r="D18" s="11" t="s">
        <v>18</v>
      </c>
      <c r="E18" s="10">
        <v>0.53516215085983276</v>
      </c>
      <c r="F18" s="41">
        <v>0.3872763442993164</v>
      </c>
      <c r="G18" s="47">
        <v>0.27421601890354264</v>
      </c>
      <c r="H18" s="46" t="s">
        <v>19</v>
      </c>
      <c r="I18" s="47">
        <v>0.51160000000000005</v>
      </c>
      <c r="J18" s="47">
        <v>0.1595</v>
      </c>
      <c r="K18" s="47">
        <v>0.13919999999999999</v>
      </c>
      <c r="L18" s="47">
        <v>0.51900000000000002</v>
      </c>
      <c r="M18" s="47">
        <v>0.28999999999999998</v>
      </c>
      <c r="N18" s="47">
        <v>2.8907508817511796E-2</v>
      </c>
      <c r="O18" s="48">
        <v>0.28742999999999996</v>
      </c>
      <c r="P18" s="48">
        <v>2.8256054530092332</v>
      </c>
      <c r="Q18" s="48">
        <v>0.37373611450195299</v>
      </c>
    </row>
    <row r="19" spans="1:17" x14ac:dyDescent="0.25">
      <c r="A19" s="5">
        <v>2</v>
      </c>
      <c r="B19" s="5">
        <v>9</v>
      </c>
      <c r="C19" s="6">
        <v>2018</v>
      </c>
      <c r="D19" s="11" t="s">
        <v>18</v>
      </c>
      <c r="E19" s="10">
        <v>0.52022874355316162</v>
      </c>
      <c r="F19" s="41">
        <v>0.38239151000976562</v>
      </c>
      <c r="G19" s="47">
        <v>0.2714971371393487</v>
      </c>
      <c r="H19" s="46" t="s">
        <v>19</v>
      </c>
      <c r="I19" s="47">
        <v>0.52739999999999998</v>
      </c>
      <c r="J19" s="47">
        <v>0.16500000000000001</v>
      </c>
      <c r="K19" s="47">
        <v>0.1305</v>
      </c>
      <c r="L19" s="47">
        <v>0.52900000000000003</v>
      </c>
      <c r="M19" s="47">
        <v>0.29499999999999998</v>
      </c>
      <c r="N19" s="47">
        <v>2.8669791142699901E-2</v>
      </c>
      <c r="O19" s="48">
        <v>0.29358000000000001</v>
      </c>
      <c r="P19" s="48">
        <v>2.8416677558537384</v>
      </c>
      <c r="Q19" s="48">
        <v>0.39820888519287101</v>
      </c>
    </row>
    <row r="20" spans="1:17" x14ac:dyDescent="0.25">
      <c r="A20" s="5">
        <v>3</v>
      </c>
      <c r="B20" s="5">
        <v>1</v>
      </c>
      <c r="C20" s="6">
        <v>2010</v>
      </c>
      <c r="D20" s="13" t="s">
        <v>20</v>
      </c>
      <c r="E20" s="8">
        <v>0.52976199999999996</v>
      </c>
      <c r="F20" s="41">
        <v>0.39132606506347656</v>
      </c>
      <c r="G20" s="47">
        <v>0.18361918028729568</v>
      </c>
      <c r="H20" s="46" t="s">
        <v>19</v>
      </c>
      <c r="I20" s="47">
        <v>0.46250000000000002</v>
      </c>
      <c r="J20" s="47">
        <v>0.13719999999999999</v>
      </c>
      <c r="K20" s="47">
        <v>0.161</v>
      </c>
      <c r="L20" s="47">
        <v>0.114</v>
      </c>
      <c r="M20" s="47">
        <v>0.115</v>
      </c>
      <c r="N20" s="47">
        <v>3.2561964607640402E-2</v>
      </c>
      <c r="O20" s="48">
        <v>0.10642</v>
      </c>
      <c r="P20" s="48">
        <v>2.4621837189806692</v>
      </c>
      <c r="Q20" s="48">
        <v>0.243956508636475</v>
      </c>
    </row>
    <row r="21" spans="1:17" x14ac:dyDescent="0.25">
      <c r="A21" s="5">
        <v>3</v>
      </c>
      <c r="B21" s="5">
        <v>2</v>
      </c>
      <c r="C21" s="6">
        <v>2011</v>
      </c>
      <c r="D21" s="13" t="s">
        <v>20</v>
      </c>
      <c r="E21" s="8">
        <v>0.53</v>
      </c>
      <c r="F21" s="41">
        <v>0.39110469818115234</v>
      </c>
      <c r="G21" s="47">
        <v>0.2155991025467329</v>
      </c>
      <c r="H21" s="46" t="s">
        <v>19</v>
      </c>
      <c r="I21" s="47">
        <v>0.46750000000000003</v>
      </c>
      <c r="J21" s="47">
        <v>0.14000000000000001</v>
      </c>
      <c r="K21" s="47">
        <v>0.1578</v>
      </c>
      <c r="L21" s="47">
        <v>8.5000000000000006E-2</v>
      </c>
      <c r="M21" s="47">
        <v>0.13300000000000001</v>
      </c>
      <c r="N21" s="47">
        <v>3.2077130073831402E-2</v>
      </c>
      <c r="O21" s="48">
        <v>0.10915</v>
      </c>
      <c r="P21" s="48">
        <v>2.4638154241431374</v>
      </c>
      <c r="Q21" s="48">
        <v>0.27534210205078102</v>
      </c>
    </row>
    <row r="22" spans="1:17" x14ac:dyDescent="0.25">
      <c r="A22" s="5">
        <v>3</v>
      </c>
      <c r="B22" s="5">
        <v>3</v>
      </c>
      <c r="C22" s="6">
        <v>2012</v>
      </c>
      <c r="D22" s="13" t="s">
        <v>20</v>
      </c>
      <c r="E22" s="9">
        <v>0.53</v>
      </c>
      <c r="F22" s="41">
        <v>0.39164100646972655</v>
      </c>
      <c r="G22" s="47">
        <v>0.20204925460313536</v>
      </c>
      <c r="H22" s="46" t="s">
        <v>19</v>
      </c>
      <c r="I22" s="47">
        <v>0.47249999999999998</v>
      </c>
      <c r="J22" s="47">
        <v>0.14269999999999999</v>
      </c>
      <c r="K22" s="47">
        <v>0.15459999999999999</v>
      </c>
      <c r="L22" s="47">
        <v>9.0000000000000011E-3</v>
      </c>
      <c r="M22" s="47">
        <v>6.6000000000000003E-2</v>
      </c>
      <c r="N22" s="47">
        <v>3.1597850951912101E-2</v>
      </c>
      <c r="O22" s="48">
        <v>0.11194000000000001</v>
      </c>
      <c r="P22" s="48">
        <v>2.4672122815749589</v>
      </c>
      <c r="Q22" s="48">
        <v>0.30417560577392599</v>
      </c>
    </row>
    <row r="23" spans="1:17" x14ac:dyDescent="0.25">
      <c r="A23" s="5">
        <v>3</v>
      </c>
      <c r="B23" s="5">
        <v>4</v>
      </c>
      <c r="C23" s="6">
        <v>2013</v>
      </c>
      <c r="D23" s="13" t="s">
        <v>20</v>
      </c>
      <c r="E23" s="10">
        <v>0.53</v>
      </c>
      <c r="F23" s="41">
        <v>0.39032768249511718</v>
      </c>
      <c r="G23" s="47">
        <v>0.19389820932408403</v>
      </c>
      <c r="H23" s="46" t="s">
        <v>19</v>
      </c>
      <c r="I23" s="47">
        <v>0.47749999999999998</v>
      </c>
      <c r="J23" s="47">
        <v>0.14549999999999999</v>
      </c>
      <c r="K23" s="47">
        <v>0.15140000000000001</v>
      </c>
      <c r="L23" s="47">
        <v>1.9E-2</v>
      </c>
      <c r="M23" s="47">
        <v>0.13699999999999998</v>
      </c>
      <c r="N23" s="47">
        <v>3.13349808169981E-2</v>
      </c>
      <c r="O23" s="48">
        <v>0.11481999999999999</v>
      </c>
      <c r="P23" s="48">
        <v>2.4724886257741514</v>
      </c>
      <c r="Q23" s="48">
        <v>0.352159614562988</v>
      </c>
    </row>
    <row r="24" spans="1:17" x14ac:dyDescent="0.25">
      <c r="A24" s="5">
        <v>3</v>
      </c>
      <c r="B24" s="5">
        <v>5</v>
      </c>
      <c r="C24" s="6">
        <v>2014</v>
      </c>
      <c r="D24" s="13" t="s">
        <v>20</v>
      </c>
      <c r="E24" s="10">
        <v>0.45369199999999998</v>
      </c>
      <c r="F24" s="41">
        <v>0.38786716461181642</v>
      </c>
      <c r="G24" s="47">
        <v>0.192934120175417</v>
      </c>
      <c r="H24" s="46" t="s">
        <v>19</v>
      </c>
      <c r="I24" s="47">
        <v>0.47560000000000002</v>
      </c>
      <c r="J24" s="47">
        <v>0.14510000000000001</v>
      </c>
      <c r="K24" s="47">
        <v>0.152</v>
      </c>
      <c r="L24" s="47">
        <v>8.199999999999999E-2</v>
      </c>
      <c r="M24" s="47">
        <v>0.13</v>
      </c>
      <c r="N24" s="47">
        <v>3.1367567918926295E-2</v>
      </c>
      <c r="O24" s="48">
        <v>0.11776</v>
      </c>
      <c r="P24" s="48">
        <v>2.4757837117310921</v>
      </c>
      <c r="Q24" s="48">
        <v>0.41482688903808601</v>
      </c>
    </row>
    <row r="25" spans="1:17" x14ac:dyDescent="0.25">
      <c r="A25" s="5">
        <v>3</v>
      </c>
      <c r="B25" s="5">
        <v>6</v>
      </c>
      <c r="C25" s="6">
        <v>2015</v>
      </c>
      <c r="D25" s="13" t="s">
        <v>20</v>
      </c>
      <c r="E25" s="12">
        <v>0.4536924</v>
      </c>
      <c r="F25" s="41">
        <v>0.39370147705078123</v>
      </c>
      <c r="G25" s="47">
        <v>0.16388092420485581</v>
      </c>
      <c r="H25" s="46" t="s">
        <v>19</v>
      </c>
      <c r="I25" s="47">
        <v>0.4738</v>
      </c>
      <c r="J25" s="47">
        <v>0.1447</v>
      </c>
      <c r="K25" s="47">
        <v>0.1527</v>
      </c>
      <c r="L25" s="47">
        <v>8.1000000000000003E-2</v>
      </c>
      <c r="M25" s="47">
        <v>9.5000000000000001E-2</v>
      </c>
      <c r="N25" s="47">
        <v>3.1569079538867902E-2</v>
      </c>
      <c r="O25" s="48">
        <v>0.12078</v>
      </c>
      <c r="P25" s="48">
        <v>2.4486550536117049</v>
      </c>
      <c r="Q25" s="48">
        <v>0.45286479949951203</v>
      </c>
    </row>
    <row r="26" spans="1:17" x14ac:dyDescent="0.25">
      <c r="A26" s="5">
        <v>3</v>
      </c>
      <c r="B26" s="5">
        <v>7</v>
      </c>
      <c r="C26" s="6">
        <v>2016</v>
      </c>
      <c r="D26" s="13" t="s">
        <v>20</v>
      </c>
      <c r="E26" s="10">
        <v>0.4536924</v>
      </c>
      <c r="F26" s="41">
        <v>0.40140518188476565</v>
      </c>
      <c r="G26" s="47">
        <v>0.17169907257375333</v>
      </c>
      <c r="H26" s="46" t="s">
        <v>19</v>
      </c>
      <c r="I26" s="47">
        <v>0.47189999999999999</v>
      </c>
      <c r="J26" s="47">
        <v>0.1444</v>
      </c>
      <c r="K26" s="47">
        <v>0.15329999999999999</v>
      </c>
      <c r="L26" s="47">
        <v>0.1</v>
      </c>
      <c r="M26" s="47">
        <v>6.7000000000000004E-2</v>
      </c>
      <c r="N26" s="47">
        <v>3.1770148554077698E-2</v>
      </c>
      <c r="O26" s="48">
        <v>0.12388</v>
      </c>
      <c r="P26" s="48">
        <v>2.4385634908960774</v>
      </c>
      <c r="Q26" s="48">
        <v>0.48995281219482401</v>
      </c>
    </row>
    <row r="27" spans="1:17" x14ac:dyDescent="0.25">
      <c r="A27" s="5">
        <v>3</v>
      </c>
      <c r="B27" s="5">
        <v>8</v>
      </c>
      <c r="C27" s="6">
        <v>2017</v>
      </c>
      <c r="D27" s="13" t="s">
        <v>20</v>
      </c>
      <c r="E27" s="10">
        <v>0.45369243621826172</v>
      </c>
      <c r="F27" s="41">
        <v>0.40244449615478517</v>
      </c>
      <c r="G27" s="47">
        <v>0.15463733539857666</v>
      </c>
      <c r="H27" s="46" t="s">
        <v>19</v>
      </c>
      <c r="I27" s="47">
        <v>0.47</v>
      </c>
      <c r="J27" s="47">
        <v>0.14399999999999999</v>
      </c>
      <c r="K27" s="47">
        <v>0.154</v>
      </c>
      <c r="L27" s="47">
        <v>8.5999999999999993E-2</v>
      </c>
      <c r="M27" s="47">
        <v>7.5999999999999998E-2</v>
      </c>
      <c r="N27" s="47">
        <v>3.1812000789711303E-2</v>
      </c>
      <c r="O27" s="48">
        <v>0.12706000000000001</v>
      </c>
      <c r="P27" s="48">
        <v>2.4305215259357116</v>
      </c>
      <c r="Q27" s="48">
        <v>0.49807510375976599</v>
      </c>
    </row>
    <row r="28" spans="1:17" x14ac:dyDescent="0.25">
      <c r="A28" s="5">
        <v>3</v>
      </c>
      <c r="B28" s="5">
        <v>9</v>
      </c>
      <c r="C28" s="6">
        <v>2018</v>
      </c>
      <c r="D28" s="13" t="s">
        <v>20</v>
      </c>
      <c r="E28" s="10">
        <v>0.40392616391181946</v>
      </c>
      <c r="F28" s="41">
        <v>0.40413516998291016</v>
      </c>
      <c r="G28" s="47">
        <v>0.18032643917196187</v>
      </c>
      <c r="H28" s="46" t="s">
        <v>19</v>
      </c>
      <c r="I28" s="47">
        <v>0.46810000000000002</v>
      </c>
      <c r="J28" s="47">
        <v>0.14360000000000001</v>
      </c>
      <c r="K28" s="47">
        <v>0.15459999999999999</v>
      </c>
      <c r="L28" s="47">
        <v>5.2000000000000005E-2</v>
      </c>
      <c r="M28" s="47">
        <v>7.5999999999999998E-2</v>
      </c>
      <c r="N28" s="47">
        <v>3.16691169681282E-2</v>
      </c>
      <c r="O28" s="48">
        <v>0.13031999999999999</v>
      </c>
      <c r="P28" s="48">
        <v>2.4243464297942361</v>
      </c>
      <c r="Q28" s="48">
        <v>0.47853950500488301</v>
      </c>
    </row>
    <row r="29" spans="1:17" x14ac:dyDescent="0.25">
      <c r="A29" s="5">
        <v>4</v>
      </c>
      <c r="B29" s="5">
        <v>1</v>
      </c>
      <c r="C29" s="6">
        <v>2010</v>
      </c>
      <c r="D29" s="14" t="s">
        <v>21</v>
      </c>
      <c r="E29" s="8">
        <v>0.29854340000000001</v>
      </c>
      <c r="F29" s="41">
        <v>0.32246955871582034</v>
      </c>
      <c r="G29" s="47">
        <v>0.1077793742422167</v>
      </c>
      <c r="H29" s="46" t="s">
        <v>17</v>
      </c>
      <c r="I29" s="47">
        <v>0.50590000000000002</v>
      </c>
      <c r="J29" s="47">
        <v>0.156</v>
      </c>
      <c r="K29" s="47">
        <v>0.1221</v>
      </c>
      <c r="L29" s="47">
        <v>0.14300000000000002</v>
      </c>
      <c r="M29" s="47">
        <v>0.20100000000000001</v>
      </c>
      <c r="N29" s="47">
        <v>2.74773375136593E-2</v>
      </c>
      <c r="O29" s="48">
        <v>0.51558999999999999</v>
      </c>
      <c r="P29" s="48">
        <v>3.1108930632473424</v>
      </c>
      <c r="Q29" s="48">
        <v>0.44039508198176203</v>
      </c>
    </row>
    <row r="30" spans="1:17" x14ac:dyDescent="0.25">
      <c r="A30" s="5">
        <v>4</v>
      </c>
      <c r="B30" s="5">
        <v>2</v>
      </c>
      <c r="C30" s="6">
        <v>2011</v>
      </c>
      <c r="D30" s="14" t="s">
        <v>21</v>
      </c>
      <c r="E30" s="8">
        <v>0.29899999999999999</v>
      </c>
      <c r="F30" s="41">
        <v>0.32558223724365232</v>
      </c>
      <c r="G30" s="47">
        <v>0.1232636507049153</v>
      </c>
      <c r="H30" s="46" t="s">
        <v>17</v>
      </c>
      <c r="I30" s="47">
        <v>0.50850000000000006</v>
      </c>
      <c r="J30" s="47">
        <v>0.15629999999999999</v>
      </c>
      <c r="K30" s="47">
        <v>0.1198</v>
      </c>
      <c r="L30" s="47">
        <v>0.114</v>
      </c>
      <c r="M30" s="47">
        <v>0.19399999999999998</v>
      </c>
      <c r="N30" s="47">
        <v>2.7404793796810899E-2</v>
      </c>
      <c r="O30" s="48">
        <v>0.52163999999999999</v>
      </c>
      <c r="P30" s="48">
        <v>3.1130425928252681</v>
      </c>
      <c r="Q30" s="48">
        <v>0.48970409393310499</v>
      </c>
    </row>
    <row r="31" spans="1:17" x14ac:dyDescent="0.25">
      <c r="A31" s="5">
        <v>4</v>
      </c>
      <c r="B31" s="5">
        <v>3</v>
      </c>
      <c r="C31" s="6">
        <v>2012</v>
      </c>
      <c r="D31" s="14" t="s">
        <v>21</v>
      </c>
      <c r="E31" s="9">
        <v>0.29899999999999999</v>
      </c>
      <c r="F31" s="41">
        <v>0.32464687347412108</v>
      </c>
      <c r="G31" s="47">
        <v>0.12412020010814344</v>
      </c>
      <c r="H31" s="46" t="s">
        <v>17</v>
      </c>
      <c r="I31" s="47">
        <v>0.51119999999999999</v>
      </c>
      <c r="J31" s="47">
        <v>0.15659999999999999</v>
      </c>
      <c r="K31" s="47">
        <v>0.11749999999999999</v>
      </c>
      <c r="L31" s="47">
        <v>7.0999999999999994E-2</v>
      </c>
      <c r="M31" s="47">
        <v>0.20899999999999999</v>
      </c>
      <c r="N31" s="47">
        <v>2.73124948919439E-2</v>
      </c>
      <c r="O31" s="48">
        <v>0.52768999999999999</v>
      </c>
      <c r="P31" s="48">
        <v>3.120465217751653</v>
      </c>
      <c r="Q31" s="48">
        <v>0.52173629760742202</v>
      </c>
    </row>
    <row r="32" spans="1:17" x14ac:dyDescent="0.25">
      <c r="A32" s="5">
        <v>4</v>
      </c>
      <c r="B32" s="5">
        <v>4</v>
      </c>
      <c r="C32" s="6">
        <v>2013</v>
      </c>
      <c r="D32" s="14" t="s">
        <v>21</v>
      </c>
      <c r="E32" s="10">
        <v>0.28699999999999998</v>
      </c>
      <c r="F32" s="41">
        <v>0.32309207916259763</v>
      </c>
      <c r="G32" s="47">
        <v>0.12961137492878111</v>
      </c>
      <c r="H32" s="46" t="s">
        <v>17</v>
      </c>
      <c r="I32" s="47">
        <v>0.51390000000000002</v>
      </c>
      <c r="J32" s="47">
        <v>0.15690000000000001</v>
      </c>
      <c r="K32" s="47">
        <v>0.1153</v>
      </c>
      <c r="L32" s="47">
        <v>0.1</v>
      </c>
      <c r="M32" s="47">
        <v>0.19899999999999998</v>
      </c>
      <c r="N32" s="47">
        <v>2.71824868984878E-2</v>
      </c>
      <c r="O32" s="48">
        <v>0.53372999999999993</v>
      </c>
      <c r="P32" s="48">
        <v>3.1294362854475479</v>
      </c>
      <c r="Q32" s="48">
        <v>0.53981521606445293</v>
      </c>
    </row>
    <row r="33" spans="1:17" x14ac:dyDescent="0.25">
      <c r="A33" s="5">
        <v>4</v>
      </c>
      <c r="B33" s="5">
        <v>5</v>
      </c>
      <c r="C33" s="6">
        <v>2014</v>
      </c>
      <c r="D33" s="14" t="s">
        <v>21</v>
      </c>
      <c r="E33" s="10">
        <v>0.24779999999999999</v>
      </c>
      <c r="F33" s="41">
        <v>0.31625101089477536</v>
      </c>
      <c r="G33" s="47">
        <v>0.1372783642726316</v>
      </c>
      <c r="H33" s="46" t="s">
        <v>17</v>
      </c>
      <c r="I33" s="47">
        <v>0.51660000000000006</v>
      </c>
      <c r="J33" s="47">
        <v>0.1573</v>
      </c>
      <c r="K33" s="47">
        <v>0.113</v>
      </c>
      <c r="L33" s="47">
        <v>0.10099999999999999</v>
      </c>
      <c r="M33" s="47">
        <v>0.20199999999999999</v>
      </c>
      <c r="N33" s="47">
        <v>2.7015246139093799E-2</v>
      </c>
      <c r="O33" s="48">
        <v>0.53976000000000002</v>
      </c>
      <c r="P33" s="48">
        <v>3.1404512807951499</v>
      </c>
      <c r="Q33" s="48">
        <v>0.58179649353027296</v>
      </c>
    </row>
    <row r="34" spans="1:17" x14ac:dyDescent="0.25">
      <c r="A34" s="5">
        <v>4</v>
      </c>
      <c r="B34" s="5">
        <v>6</v>
      </c>
      <c r="C34" s="6">
        <v>2015</v>
      </c>
      <c r="D34" s="14" t="s">
        <v>21</v>
      </c>
      <c r="E34" s="10">
        <v>0.24779950000000001</v>
      </c>
      <c r="F34" s="41">
        <v>0.31358932495117187</v>
      </c>
      <c r="G34" s="47">
        <v>0.14190393085648659</v>
      </c>
      <c r="H34" s="46" t="s">
        <v>17</v>
      </c>
      <c r="I34" s="47">
        <v>0.5101</v>
      </c>
      <c r="J34" s="47">
        <v>0.15359999999999999</v>
      </c>
      <c r="K34" s="47">
        <v>0.1158</v>
      </c>
      <c r="L34" s="47">
        <v>0.124</v>
      </c>
      <c r="M34" s="47">
        <v>0.20499999999999999</v>
      </c>
      <c r="N34" s="47">
        <v>2.6818481109546603E-2</v>
      </c>
      <c r="O34" s="48">
        <v>0.54578000000000004</v>
      </c>
      <c r="P34" s="48">
        <v>3.1507564696641692</v>
      </c>
      <c r="Q34" s="48">
        <v>0.59554710388183596</v>
      </c>
    </row>
    <row r="35" spans="1:17" x14ac:dyDescent="0.25">
      <c r="A35" s="5">
        <v>4</v>
      </c>
      <c r="B35" s="5">
        <v>7</v>
      </c>
      <c r="C35" s="6">
        <v>2016</v>
      </c>
      <c r="D35" s="14" t="s">
        <v>21</v>
      </c>
      <c r="E35" s="10">
        <v>0.24779950000000001</v>
      </c>
      <c r="F35" s="41">
        <v>0.31007297515869142</v>
      </c>
      <c r="G35" s="47">
        <v>0.14370664048515247</v>
      </c>
      <c r="H35" s="46" t="s">
        <v>17</v>
      </c>
      <c r="I35" s="47">
        <v>0.50360000000000005</v>
      </c>
      <c r="J35" s="47">
        <v>0.14990000000000001</v>
      </c>
      <c r="K35" s="47">
        <v>0.11849999999999999</v>
      </c>
      <c r="L35" s="47">
        <v>0.114</v>
      </c>
      <c r="M35" s="47">
        <v>0.21</v>
      </c>
      <c r="N35" s="47">
        <v>2.6605020663145199E-2</v>
      </c>
      <c r="O35" s="48">
        <v>0.55179</v>
      </c>
      <c r="P35" s="48">
        <v>3.1570389879025562</v>
      </c>
      <c r="Q35" s="48">
        <v>0.60465591430664101</v>
      </c>
    </row>
    <row r="36" spans="1:17" x14ac:dyDescent="0.25">
      <c r="A36" s="5">
        <v>4</v>
      </c>
      <c r="B36" s="5">
        <v>8</v>
      </c>
      <c r="C36" s="6">
        <v>2017</v>
      </c>
      <c r="D36" s="14" t="s">
        <v>21</v>
      </c>
      <c r="E36" s="10">
        <v>0.24779951572418213</v>
      </c>
      <c r="F36" s="41">
        <v>0.3040349578857422</v>
      </c>
      <c r="G36" s="47">
        <v>0.14063346145304595</v>
      </c>
      <c r="H36" s="46" t="s">
        <v>17</v>
      </c>
      <c r="I36" s="47">
        <v>0.49719999999999998</v>
      </c>
      <c r="J36" s="47">
        <v>0.14610000000000001</v>
      </c>
      <c r="K36" s="47">
        <v>0.1212</v>
      </c>
      <c r="L36" s="47">
        <v>0.11</v>
      </c>
      <c r="M36" s="47">
        <v>0.19</v>
      </c>
      <c r="N36" s="47">
        <v>2.63775433447287E-2</v>
      </c>
      <c r="O36" s="48">
        <v>0.55776999999999999</v>
      </c>
      <c r="P36" s="48">
        <v>3.1598398437128021</v>
      </c>
      <c r="Q36" s="48">
        <v>0.50637009289431201</v>
      </c>
    </row>
    <row r="37" spans="1:17" x14ac:dyDescent="0.25">
      <c r="A37" s="5">
        <v>4</v>
      </c>
      <c r="B37" s="5">
        <v>9</v>
      </c>
      <c r="C37" s="6">
        <v>2018</v>
      </c>
      <c r="D37" s="14" t="s">
        <v>21</v>
      </c>
      <c r="E37" s="10">
        <v>0.24373306334018707</v>
      </c>
      <c r="F37" s="41">
        <v>0.30182653427124023</v>
      </c>
      <c r="G37" s="47">
        <v>0.14682077628989779</v>
      </c>
      <c r="H37" s="46" t="s">
        <v>17</v>
      </c>
      <c r="I37" s="47">
        <v>0.49070000000000003</v>
      </c>
      <c r="J37" s="47">
        <v>0.1424</v>
      </c>
      <c r="K37" s="47">
        <v>0.124</v>
      </c>
      <c r="L37" s="47">
        <v>0.114</v>
      </c>
      <c r="M37" s="47">
        <v>0.18100000000000002</v>
      </c>
      <c r="N37" s="47">
        <v>2.61228416133822E-2</v>
      </c>
      <c r="O37" s="48">
        <v>0.56374000000000002</v>
      </c>
      <c r="P37" s="48">
        <v>3.1646560718827197</v>
      </c>
      <c r="Q37" s="48">
        <v>0.46472947620660199</v>
      </c>
    </row>
    <row r="38" spans="1:17" x14ac:dyDescent="0.25">
      <c r="A38" s="5">
        <v>5</v>
      </c>
      <c r="B38" s="5">
        <v>1</v>
      </c>
      <c r="C38" s="6">
        <v>2010</v>
      </c>
      <c r="D38" s="15" t="s">
        <v>22</v>
      </c>
      <c r="E38" s="8">
        <v>0.51229000000000002</v>
      </c>
      <c r="F38" s="41">
        <v>0.39045139312744143</v>
      </c>
      <c r="G38" s="47">
        <v>8.3089812496816476E-2</v>
      </c>
      <c r="H38" s="46" t="s">
        <v>19</v>
      </c>
      <c r="I38" s="47">
        <v>0.62340000000000007</v>
      </c>
      <c r="J38" s="47">
        <v>0.28470000000000001</v>
      </c>
      <c r="K38" s="47">
        <v>8.7999999999999995E-2</v>
      </c>
      <c r="L38" s="47">
        <v>0.18100000000000002</v>
      </c>
      <c r="M38" s="47">
        <v>5.2999999999999999E-2</v>
      </c>
      <c r="N38" s="47">
        <v>1.12655511715726E-2</v>
      </c>
      <c r="O38" s="48">
        <v>0.38904000000000005</v>
      </c>
      <c r="P38" s="48">
        <v>2.7152857111569317</v>
      </c>
      <c r="Q38" s="48">
        <v>0.15690219879150352</v>
      </c>
    </row>
    <row r="39" spans="1:17" x14ac:dyDescent="0.25">
      <c r="A39" s="5">
        <v>5</v>
      </c>
      <c r="B39" s="5">
        <v>2</v>
      </c>
      <c r="C39" s="6">
        <v>2011</v>
      </c>
      <c r="D39" s="15" t="s">
        <v>22</v>
      </c>
      <c r="E39" s="8">
        <v>0.51200000000000001</v>
      </c>
      <c r="F39" s="41">
        <v>0.38037437438964844</v>
      </c>
      <c r="G39" s="47">
        <v>9.1804654207169309E-2</v>
      </c>
      <c r="H39" s="46" t="s">
        <v>19</v>
      </c>
      <c r="I39" s="47">
        <v>0.61209999999999998</v>
      </c>
      <c r="J39" s="47">
        <v>0.27279999999999999</v>
      </c>
      <c r="K39" s="47">
        <v>9.1800000000000007E-2</v>
      </c>
      <c r="L39" s="47">
        <v>0.18</v>
      </c>
      <c r="M39" s="47">
        <v>7.0999999999999994E-2</v>
      </c>
      <c r="N39" s="47">
        <v>7.23967672972794E-3</v>
      </c>
      <c r="O39" s="48">
        <v>0.39134999999999998</v>
      </c>
      <c r="P39" s="48">
        <v>2.7262241424175029</v>
      </c>
      <c r="Q39" s="48">
        <v>0.15830109596252401</v>
      </c>
    </row>
    <row r="40" spans="1:17" x14ac:dyDescent="0.25">
      <c r="A40" s="5">
        <v>5</v>
      </c>
      <c r="B40" s="5">
        <v>3</v>
      </c>
      <c r="C40" s="6">
        <v>2012</v>
      </c>
      <c r="D40" s="15" t="s">
        <v>22</v>
      </c>
      <c r="E40" s="9">
        <v>0.51200000000000001</v>
      </c>
      <c r="F40" s="41">
        <v>0.37843521118164064</v>
      </c>
      <c r="G40" s="47">
        <v>0.10771941405832418</v>
      </c>
      <c r="H40" s="46" t="s">
        <v>19</v>
      </c>
      <c r="I40" s="47">
        <v>0.6008</v>
      </c>
      <c r="J40" s="47">
        <v>0.26100000000000001</v>
      </c>
      <c r="K40" s="47">
        <v>9.5600000000000004E-2</v>
      </c>
      <c r="L40" s="47">
        <v>0.16600000000000001</v>
      </c>
      <c r="M40" s="47">
        <v>4.7E-2</v>
      </c>
      <c r="N40" s="47">
        <v>4.0139861123293106E-3</v>
      </c>
      <c r="O40" s="48">
        <v>0.39388000000000001</v>
      </c>
      <c r="P40" s="48">
        <v>2.7432977226375574</v>
      </c>
      <c r="Q40" s="48">
        <v>0.15550330162048301</v>
      </c>
    </row>
    <row r="41" spans="1:17" x14ac:dyDescent="0.25">
      <c r="A41" s="5">
        <v>5</v>
      </c>
      <c r="B41" s="5">
        <v>4</v>
      </c>
      <c r="C41" s="6">
        <v>2013</v>
      </c>
      <c r="D41" s="15" t="s">
        <v>22</v>
      </c>
      <c r="E41" s="16">
        <f>AVERAGE(E40,E42)</f>
        <v>0.4710955</v>
      </c>
      <c r="F41" s="41">
        <v>0.4511850357055664</v>
      </c>
      <c r="G41" s="47">
        <v>0.13576825985423477</v>
      </c>
      <c r="H41" s="46" t="s">
        <v>19</v>
      </c>
      <c r="I41" s="47">
        <v>0.58940000000000003</v>
      </c>
      <c r="J41" s="47">
        <v>0.24909999999999999</v>
      </c>
      <c r="K41" s="47">
        <v>9.9400000000000002E-2</v>
      </c>
      <c r="L41" s="47">
        <v>0.12300000000000001</v>
      </c>
      <c r="M41" s="47">
        <v>1.9E-2</v>
      </c>
      <c r="N41" s="47">
        <v>2.5964755306702903E-3</v>
      </c>
      <c r="O41" s="48">
        <v>0.39662999999999998</v>
      </c>
      <c r="P41" s="48">
        <v>2.5438460900753279</v>
      </c>
      <c r="Q41" s="48">
        <v>0.15690219879150352</v>
      </c>
    </row>
    <row r="42" spans="1:17" x14ac:dyDescent="0.25">
      <c r="A42" s="5">
        <v>5</v>
      </c>
      <c r="B42" s="5">
        <v>5</v>
      </c>
      <c r="C42" s="6">
        <v>2014</v>
      </c>
      <c r="D42" s="15" t="s">
        <v>22</v>
      </c>
      <c r="E42" s="10">
        <v>0.43019099999999999</v>
      </c>
      <c r="F42" s="41">
        <v>0.45114551544189452</v>
      </c>
      <c r="G42" s="47">
        <v>0.12791023303241419</v>
      </c>
      <c r="H42" s="46" t="s">
        <v>19</v>
      </c>
      <c r="I42" s="47">
        <v>0.57810000000000006</v>
      </c>
      <c r="J42" s="47">
        <v>0.23730000000000001</v>
      </c>
      <c r="K42" s="47">
        <v>0.1032</v>
      </c>
      <c r="L42" s="47">
        <v>0.111</v>
      </c>
      <c r="M42" s="47">
        <v>1.3999999999999999E-2</v>
      </c>
      <c r="N42" s="47">
        <v>3.6413390330302903E-3</v>
      </c>
      <c r="O42" s="48">
        <v>0.39959000000000006</v>
      </c>
      <c r="P42" s="48">
        <v>2.5460013766331664</v>
      </c>
      <c r="Q42" s="48">
        <v>0.15620275020599325</v>
      </c>
    </row>
    <row r="43" spans="1:17" x14ac:dyDescent="0.25">
      <c r="A43" s="5">
        <v>5</v>
      </c>
      <c r="B43" s="5">
        <v>6</v>
      </c>
      <c r="C43" s="6">
        <v>2015</v>
      </c>
      <c r="D43" s="15" t="s">
        <v>22</v>
      </c>
      <c r="E43" s="12">
        <v>0.43019059999999998</v>
      </c>
      <c r="F43" s="41">
        <v>0.44501255035400389</v>
      </c>
      <c r="G43" s="47">
        <v>0.1171543359611886</v>
      </c>
      <c r="H43" s="46" t="s">
        <v>19</v>
      </c>
      <c r="I43" s="47">
        <v>0.56680000000000008</v>
      </c>
      <c r="J43" s="47">
        <v>0.22550000000000001</v>
      </c>
      <c r="K43" s="47">
        <v>0.107</v>
      </c>
      <c r="L43" s="47">
        <v>7.0999999999999994E-2</v>
      </c>
      <c r="M43" s="47">
        <v>1.3999999999999999E-2</v>
      </c>
      <c r="N43" s="47">
        <v>6.4751577700453804E-3</v>
      </c>
      <c r="O43" s="48">
        <v>0.40277000000000002</v>
      </c>
      <c r="P43" s="48">
        <v>2.5638640140224509</v>
      </c>
      <c r="Q43" s="48">
        <v>0.1565524744987484</v>
      </c>
    </row>
    <row r="44" spans="1:17" x14ac:dyDescent="0.25">
      <c r="A44" s="5">
        <v>5</v>
      </c>
      <c r="B44" s="5">
        <v>7</v>
      </c>
      <c r="C44" s="6">
        <v>2016</v>
      </c>
      <c r="D44" s="15" t="s">
        <v>22</v>
      </c>
      <c r="E44" s="10">
        <v>0.43019059999999998</v>
      </c>
      <c r="F44" s="41">
        <v>0.43951908111572263</v>
      </c>
      <c r="G44" s="47">
        <v>0.12314843238565125</v>
      </c>
      <c r="H44" s="46" t="s">
        <v>19</v>
      </c>
      <c r="I44" s="47">
        <v>0.55549999999999999</v>
      </c>
      <c r="J44" s="47">
        <v>0.21360000000000001</v>
      </c>
      <c r="K44" s="47">
        <v>0.1108</v>
      </c>
      <c r="L44" s="47">
        <v>8.5999999999999993E-2</v>
      </c>
      <c r="M44" s="47">
        <v>2.4E-2</v>
      </c>
      <c r="N44" s="47">
        <v>9.8578407892309511E-3</v>
      </c>
      <c r="O44" s="48">
        <v>0.40618000000000004</v>
      </c>
      <c r="P44" s="48">
        <v>2.576178031826688</v>
      </c>
      <c r="Q44" s="48">
        <v>0.136688098907471</v>
      </c>
    </row>
    <row r="45" spans="1:17" x14ac:dyDescent="0.25">
      <c r="A45" s="5">
        <v>5</v>
      </c>
      <c r="B45" s="5">
        <v>8</v>
      </c>
      <c r="C45" s="6">
        <v>2017</v>
      </c>
      <c r="D45" s="15" t="s">
        <v>22</v>
      </c>
      <c r="E45" s="10">
        <v>0.4301905632019043</v>
      </c>
      <c r="F45" s="41">
        <v>0.43515396118164063</v>
      </c>
      <c r="G45" s="47">
        <v>0.11215017734209573</v>
      </c>
      <c r="H45" s="46" t="s">
        <v>19</v>
      </c>
      <c r="I45" s="47">
        <v>0.54420000000000002</v>
      </c>
      <c r="J45" s="47">
        <v>0.20180000000000001</v>
      </c>
      <c r="K45" s="47">
        <v>0.11459999999999999</v>
      </c>
      <c r="L45" s="47">
        <v>0.114</v>
      </c>
      <c r="M45" s="47">
        <v>3.3000000000000002E-2</v>
      </c>
      <c r="N45" s="47">
        <v>1.2774834969372E-2</v>
      </c>
      <c r="O45" s="48">
        <v>0.40979999999999994</v>
      </c>
      <c r="P45" s="48">
        <v>2.5881124751803393</v>
      </c>
      <c r="Q45" s="48">
        <v>0.1542516040802</v>
      </c>
    </row>
    <row r="46" spans="1:17" x14ac:dyDescent="0.25">
      <c r="A46" s="5">
        <v>5</v>
      </c>
      <c r="B46" s="5">
        <v>9</v>
      </c>
      <c r="C46" s="6">
        <v>2018</v>
      </c>
      <c r="D46" s="15" t="s">
        <v>22</v>
      </c>
      <c r="E46" s="10">
        <v>0.46486377716064453</v>
      </c>
      <c r="F46" s="41">
        <v>0.43040752410888672</v>
      </c>
      <c r="G46" s="47">
        <v>0.12344331994471623</v>
      </c>
      <c r="H46" s="46" t="s">
        <v>19</v>
      </c>
      <c r="I46" s="47">
        <v>0.53290000000000004</v>
      </c>
      <c r="J46" s="47">
        <v>0.18990000000000001</v>
      </c>
      <c r="K46" s="47">
        <v>0.11840000000000001</v>
      </c>
      <c r="L46" s="47">
        <v>0.105</v>
      </c>
      <c r="M46" s="47">
        <v>2.4E-2</v>
      </c>
      <c r="N46" s="47">
        <v>1.5191174668344999E-2</v>
      </c>
      <c r="O46" s="48">
        <v>0.41363999999999995</v>
      </c>
      <c r="P46" s="48">
        <v>2.596619101656398</v>
      </c>
      <c r="Q46" s="48">
        <v>0.14546985149383551</v>
      </c>
    </row>
    <row r="47" spans="1:17" x14ac:dyDescent="0.25">
      <c r="A47" s="5">
        <v>6</v>
      </c>
      <c r="B47" s="5">
        <v>1</v>
      </c>
      <c r="C47" s="6">
        <v>2010</v>
      </c>
      <c r="D47" s="17" t="s">
        <v>23</v>
      </c>
      <c r="E47" s="8">
        <v>0.34418710000000002</v>
      </c>
      <c r="F47" s="41">
        <v>0.43513809204101561</v>
      </c>
      <c r="G47" s="47">
        <v>4.2367207373045161E-2</v>
      </c>
      <c r="H47" s="46" t="s">
        <v>19</v>
      </c>
      <c r="I47" s="47">
        <v>0.48699999999999999</v>
      </c>
      <c r="J47" s="47">
        <v>0.1542</v>
      </c>
      <c r="K47" s="47">
        <v>0.1313</v>
      </c>
      <c r="L47" s="47">
        <v>2.4E-2</v>
      </c>
      <c r="M47" s="47">
        <v>4.2999999999999997E-2</v>
      </c>
      <c r="N47" s="47">
        <v>3.3346692934519299E-2</v>
      </c>
      <c r="O47" s="48">
        <v>0.21984999999999999</v>
      </c>
      <c r="P47" s="48">
        <v>2.8468534787204955</v>
      </c>
      <c r="Q47" s="48">
        <v>0.23105260848998999</v>
      </c>
    </row>
    <row r="48" spans="1:17" x14ac:dyDescent="0.25">
      <c r="A48" s="5">
        <v>6</v>
      </c>
      <c r="B48" s="5">
        <v>2</v>
      </c>
      <c r="C48" s="6">
        <v>2011</v>
      </c>
      <c r="D48" s="17" t="s">
        <v>23</v>
      </c>
      <c r="E48" s="8">
        <v>0.34399999999999997</v>
      </c>
      <c r="F48" s="41">
        <v>0.44840484619140625</v>
      </c>
      <c r="G48" s="47">
        <v>4.8485022214118913E-2</v>
      </c>
      <c r="H48" s="46" t="s">
        <v>19</v>
      </c>
      <c r="I48" s="47">
        <v>0.48920000000000002</v>
      </c>
      <c r="J48" s="47">
        <v>0.15590000000000001</v>
      </c>
      <c r="K48" s="47">
        <v>0.1295</v>
      </c>
      <c r="L48" s="47">
        <v>3.7999999999999999E-2</v>
      </c>
      <c r="M48" s="47">
        <v>6.2E-2</v>
      </c>
      <c r="N48" s="47">
        <v>3.3635382470264E-2</v>
      </c>
      <c r="O48" s="48">
        <v>0.22053999999999999</v>
      </c>
      <c r="P48" s="48">
        <v>2.8318817567881536</v>
      </c>
      <c r="Q48" s="48">
        <v>0.23576799392700198</v>
      </c>
    </row>
    <row r="49" spans="1:17" x14ac:dyDescent="0.25">
      <c r="A49" s="5">
        <v>6</v>
      </c>
      <c r="B49" s="5">
        <v>3</v>
      </c>
      <c r="C49" s="6">
        <v>2012</v>
      </c>
      <c r="D49" s="17" t="s">
        <v>23</v>
      </c>
      <c r="E49" s="9">
        <v>0.34399999999999997</v>
      </c>
      <c r="F49" s="41">
        <v>0.43984039306640627</v>
      </c>
      <c r="G49" s="47">
        <v>5.8173313854131485E-2</v>
      </c>
      <c r="H49" s="46" t="s">
        <v>19</v>
      </c>
      <c r="I49" s="47">
        <v>0.48509999999999998</v>
      </c>
      <c r="J49" s="47">
        <v>0.15240000000000001</v>
      </c>
      <c r="K49" s="47">
        <v>0.13320000000000001</v>
      </c>
      <c r="L49" s="47">
        <v>2.4E-2</v>
      </c>
      <c r="M49" s="47">
        <v>3.7999999999999999E-2</v>
      </c>
      <c r="N49" s="47">
        <v>3.3707675639941696E-2</v>
      </c>
      <c r="O49" s="48">
        <v>0.22142000000000001</v>
      </c>
      <c r="P49" s="48">
        <v>2.8535848781384563</v>
      </c>
      <c r="Q49" s="48">
        <v>0.22852739334106398</v>
      </c>
    </row>
    <row r="50" spans="1:17" x14ac:dyDescent="0.25">
      <c r="A50" s="5">
        <v>6</v>
      </c>
      <c r="B50" s="5">
        <v>4</v>
      </c>
      <c r="C50" s="6">
        <v>2013</v>
      </c>
      <c r="D50" s="17" t="s">
        <v>23</v>
      </c>
      <c r="E50" s="10">
        <v>0.34399999999999997</v>
      </c>
      <c r="F50" s="41">
        <v>0.44320968627929686</v>
      </c>
      <c r="G50" s="47">
        <v>6.089035107051765E-2</v>
      </c>
      <c r="H50" s="46" t="s">
        <v>19</v>
      </c>
      <c r="I50" s="47">
        <v>0.48089999999999999</v>
      </c>
      <c r="J50" s="47">
        <v>0.14899999999999999</v>
      </c>
      <c r="K50" s="47">
        <v>0.13700000000000001</v>
      </c>
      <c r="L50" s="47">
        <v>3.3000000000000002E-2</v>
      </c>
      <c r="M50" s="47">
        <v>6.6000000000000003E-2</v>
      </c>
      <c r="N50" s="47">
        <v>3.3510689340556399E-2</v>
      </c>
      <c r="O50" s="48">
        <v>0.22248000000000001</v>
      </c>
      <c r="P50" s="48">
        <v>2.8621578214359884</v>
      </c>
      <c r="Q50" s="48">
        <v>0.25376390457153297</v>
      </c>
    </row>
    <row r="51" spans="1:17" x14ac:dyDescent="0.25">
      <c r="A51" s="5">
        <v>6</v>
      </c>
      <c r="B51" s="5">
        <v>5</v>
      </c>
      <c r="C51" s="6">
        <v>2014</v>
      </c>
      <c r="D51" s="17" t="s">
        <v>23</v>
      </c>
      <c r="E51" s="10">
        <v>0.34418700000000002</v>
      </c>
      <c r="F51" s="41">
        <v>0.42552352905273438</v>
      </c>
      <c r="G51" s="47">
        <v>7.8015287891545923E-2</v>
      </c>
      <c r="H51" s="46" t="s">
        <v>19</v>
      </c>
      <c r="I51" s="47">
        <v>0.4768</v>
      </c>
      <c r="J51" s="47">
        <v>0.14560000000000001</v>
      </c>
      <c r="K51" s="47">
        <v>0.14069999999999999</v>
      </c>
      <c r="L51" s="47">
        <v>6.3E-2</v>
      </c>
      <c r="M51" s="47">
        <v>5.7999999999999996E-2</v>
      </c>
      <c r="N51" s="47">
        <v>3.2968994206219099E-2</v>
      </c>
      <c r="O51" s="48">
        <v>0.22372</v>
      </c>
      <c r="P51" s="48">
        <v>2.8756312094382057</v>
      </c>
      <c r="Q51" s="48">
        <v>0.23639919281005897</v>
      </c>
    </row>
    <row r="52" spans="1:17" x14ac:dyDescent="0.25">
      <c r="A52" s="5">
        <v>6</v>
      </c>
      <c r="B52" s="5">
        <v>6</v>
      </c>
      <c r="C52" s="6">
        <v>2015</v>
      </c>
      <c r="D52" s="17" t="s">
        <v>23</v>
      </c>
      <c r="E52" s="12">
        <v>0.55358359999999995</v>
      </c>
      <c r="F52" s="41">
        <v>0.42359947204589843</v>
      </c>
      <c r="G52" s="47">
        <v>8.3525177633611364E-2</v>
      </c>
      <c r="H52" s="46" t="s">
        <v>19</v>
      </c>
      <c r="I52" s="47">
        <v>0.47260000000000002</v>
      </c>
      <c r="J52" s="47">
        <v>0.14219999999999999</v>
      </c>
      <c r="K52" s="47">
        <v>0.1444</v>
      </c>
      <c r="L52" s="47">
        <v>5.2000000000000005E-2</v>
      </c>
      <c r="M52" s="47">
        <v>6.2E-2</v>
      </c>
      <c r="N52" s="47">
        <v>3.2219998441907899E-2</v>
      </c>
      <c r="O52" s="48">
        <v>0.22515000000000002</v>
      </c>
      <c r="P52" s="48">
        <v>2.8736625821519661</v>
      </c>
      <c r="Q52" s="48">
        <v>0.23028659820556602</v>
      </c>
    </row>
    <row r="53" spans="1:17" x14ac:dyDescent="0.25">
      <c r="A53" s="5">
        <v>6</v>
      </c>
      <c r="B53" s="5">
        <v>7</v>
      </c>
      <c r="C53" s="6">
        <v>2016</v>
      </c>
      <c r="D53" s="17" t="s">
        <v>23</v>
      </c>
      <c r="E53" s="10">
        <v>0.55358359999999995</v>
      </c>
      <c r="F53" s="41">
        <v>0.44044975280761717</v>
      </c>
      <c r="G53" s="47">
        <v>0.12473111631016043</v>
      </c>
      <c r="H53" s="46" t="s">
        <v>19</v>
      </c>
      <c r="I53" s="47">
        <v>0.46850000000000003</v>
      </c>
      <c r="J53" s="47">
        <v>0.13880000000000001</v>
      </c>
      <c r="K53" s="47">
        <v>0.14810000000000001</v>
      </c>
      <c r="L53" s="47">
        <v>4.2999999999999997E-2</v>
      </c>
      <c r="M53" s="47">
        <v>6.2E-2</v>
      </c>
      <c r="N53" s="47">
        <v>3.1439329972584897E-2</v>
      </c>
      <c r="O53" s="48">
        <v>0.22677</v>
      </c>
      <c r="P53" s="48">
        <v>2.8319771093716799</v>
      </c>
      <c r="Q53" s="48">
        <v>0.23351509094238299</v>
      </c>
    </row>
    <row r="54" spans="1:17" x14ac:dyDescent="0.25">
      <c r="A54" s="5">
        <v>6</v>
      </c>
      <c r="B54" s="5">
        <v>8</v>
      </c>
      <c r="C54" s="6">
        <v>2017</v>
      </c>
      <c r="D54" s="17" t="s">
        <v>23</v>
      </c>
      <c r="E54" s="10">
        <v>0.55210286378860474</v>
      </c>
      <c r="F54" s="41">
        <v>0.44459911346435549</v>
      </c>
      <c r="G54" s="47">
        <v>0.12155394114465695</v>
      </c>
      <c r="H54" s="46" t="s">
        <v>19</v>
      </c>
      <c r="I54" s="47">
        <v>0.46429999999999999</v>
      </c>
      <c r="J54" s="47">
        <v>0.13539999999999999</v>
      </c>
      <c r="K54" s="47">
        <v>0.15179999999999999</v>
      </c>
      <c r="L54" s="47">
        <v>4.8000000000000001E-2</v>
      </c>
      <c r="M54" s="47">
        <v>5.7000000000000002E-2</v>
      </c>
      <c r="N54" s="47">
        <v>3.0775067363691903E-2</v>
      </c>
      <c r="O54" s="48">
        <v>0.22858000000000001</v>
      </c>
      <c r="P54" s="48">
        <v>2.8044399570599148</v>
      </c>
      <c r="Q54" s="48">
        <v>0.21354009628295897</v>
      </c>
    </row>
    <row r="55" spans="1:17" x14ac:dyDescent="0.25">
      <c r="A55" s="5">
        <v>6</v>
      </c>
      <c r="B55" s="5">
        <v>9</v>
      </c>
      <c r="C55" s="6">
        <v>2018</v>
      </c>
      <c r="D55" s="17" t="s">
        <v>23</v>
      </c>
      <c r="E55" s="10">
        <v>0.534781813621521</v>
      </c>
      <c r="F55" s="41">
        <v>0.43871463775634767</v>
      </c>
      <c r="G55" s="47">
        <v>0.11248909936572886</v>
      </c>
      <c r="H55" s="46" t="s">
        <v>19</v>
      </c>
      <c r="I55" s="47">
        <v>0.4602</v>
      </c>
      <c r="J55" s="47">
        <v>0.13189999999999999</v>
      </c>
      <c r="K55" s="47">
        <v>0.15559999999999999</v>
      </c>
      <c r="L55" s="47">
        <v>7.0999999999999994E-2</v>
      </c>
      <c r="M55" s="47">
        <v>6.2E-2</v>
      </c>
      <c r="N55" s="47">
        <v>3.0235045479502901E-2</v>
      </c>
      <c r="O55" s="48">
        <v>0.23059000000000002</v>
      </c>
      <c r="P55" s="48">
        <v>2.8000394050298247</v>
      </c>
      <c r="Q55" s="48">
        <v>0.207695808410644</v>
      </c>
    </row>
    <row r="56" spans="1:17" x14ac:dyDescent="0.25">
      <c r="A56" s="5">
        <v>7</v>
      </c>
      <c r="B56" s="5">
        <v>1</v>
      </c>
      <c r="C56" s="6">
        <v>2010</v>
      </c>
      <c r="D56" s="18" t="s">
        <v>24</v>
      </c>
      <c r="E56" s="8">
        <v>0.40845769999999998</v>
      </c>
      <c r="F56" s="41">
        <v>0.38872161865234373</v>
      </c>
      <c r="G56" s="47">
        <v>0.10477598466733286</v>
      </c>
      <c r="H56" s="46" t="s">
        <v>17</v>
      </c>
      <c r="I56" s="47">
        <v>0.56530000000000002</v>
      </c>
      <c r="J56" s="47">
        <v>0.20019999999999999</v>
      </c>
      <c r="K56" s="47">
        <v>0.105</v>
      </c>
      <c r="L56" s="49"/>
      <c r="M56" s="49"/>
      <c r="N56" s="47">
        <v>2.4132703774454801E-2</v>
      </c>
      <c r="O56" s="48">
        <v>0.27972999999999998</v>
      </c>
      <c r="P56" s="48">
        <v>3.1046943869699004</v>
      </c>
      <c r="Q56" s="48">
        <v>0.59632522668089094</v>
      </c>
    </row>
    <row r="57" spans="1:17" x14ac:dyDescent="0.25">
      <c r="A57" s="5">
        <v>7</v>
      </c>
      <c r="B57" s="5">
        <v>2</v>
      </c>
      <c r="C57" s="6">
        <v>2011</v>
      </c>
      <c r="D57" s="18" t="s">
        <v>24</v>
      </c>
      <c r="E57" s="8">
        <v>0.40799999999999997</v>
      </c>
      <c r="F57" s="41">
        <v>0.38412311553955081</v>
      </c>
      <c r="G57" s="47">
        <v>0.10628193587517559</v>
      </c>
      <c r="H57" s="46" t="s">
        <v>17</v>
      </c>
      <c r="I57" s="47">
        <v>0.54870000000000008</v>
      </c>
      <c r="J57" s="47">
        <v>0.18529999999999999</v>
      </c>
      <c r="K57" s="47">
        <v>0.1087</v>
      </c>
      <c r="L57" s="49"/>
      <c r="M57" s="49"/>
      <c r="N57" s="47">
        <v>2.4182678630200002E-2</v>
      </c>
      <c r="O57" s="48">
        <v>0.28039999999999998</v>
      </c>
      <c r="P57" s="48">
        <v>3.1136462621380763</v>
      </c>
      <c r="Q57" s="48">
        <v>0.59448986078535693</v>
      </c>
    </row>
    <row r="58" spans="1:17" x14ac:dyDescent="0.25">
      <c r="A58" s="5">
        <v>7</v>
      </c>
      <c r="B58" s="5">
        <v>3</v>
      </c>
      <c r="C58" s="6">
        <v>2012</v>
      </c>
      <c r="D58" s="18" t="s">
        <v>24</v>
      </c>
      <c r="E58" s="9">
        <v>0.40799999999999997</v>
      </c>
      <c r="F58" s="41">
        <v>0.37871479034423827</v>
      </c>
      <c r="G58" s="47">
        <v>0.12089419695225741</v>
      </c>
      <c r="H58" s="46" t="s">
        <v>17</v>
      </c>
      <c r="I58" s="47">
        <v>0.53210000000000002</v>
      </c>
      <c r="J58" s="47">
        <v>0.17050000000000001</v>
      </c>
      <c r="K58" s="47">
        <v>0.1124</v>
      </c>
      <c r="L58" s="49"/>
      <c r="M58" s="49"/>
      <c r="N58" s="47">
        <v>2.4171311483125901E-2</v>
      </c>
      <c r="O58" s="48">
        <v>0.28123000000000004</v>
      </c>
      <c r="P58" s="48">
        <v>3.1184571714246085</v>
      </c>
      <c r="Q58" s="48">
        <v>0.59816059257642495</v>
      </c>
    </row>
    <row r="59" spans="1:17" x14ac:dyDescent="0.25">
      <c r="A59" s="5">
        <v>7</v>
      </c>
      <c r="B59" s="5">
        <v>4</v>
      </c>
      <c r="C59" s="6">
        <v>2013</v>
      </c>
      <c r="D59" s="18" t="s">
        <v>24</v>
      </c>
      <c r="E59" s="19">
        <f>E58</f>
        <v>0.40799999999999997</v>
      </c>
      <c r="F59" s="41">
        <v>0.37225517272949221</v>
      </c>
      <c r="G59" s="47">
        <v>0.12805075215818632</v>
      </c>
      <c r="H59" s="46" t="s">
        <v>17</v>
      </c>
      <c r="I59" s="47">
        <v>0.51550000000000007</v>
      </c>
      <c r="J59" s="47">
        <v>0.15559999999999999</v>
      </c>
      <c r="K59" s="47">
        <v>0.11600000000000001</v>
      </c>
      <c r="L59" s="49"/>
      <c r="M59" s="49"/>
      <c r="N59" s="47">
        <v>2.4085085351559E-2</v>
      </c>
      <c r="O59" s="48">
        <v>0.28222999999999998</v>
      </c>
      <c r="P59" s="48">
        <v>3.128252833430639</v>
      </c>
      <c r="Q59" s="48">
        <v>0.59081912899428901</v>
      </c>
    </row>
    <row r="60" spans="1:17" x14ac:dyDescent="0.25">
      <c r="A60" s="5">
        <v>7</v>
      </c>
      <c r="B60" s="5">
        <v>5</v>
      </c>
      <c r="C60" s="6">
        <v>2014</v>
      </c>
      <c r="D60" s="18" t="s">
        <v>24</v>
      </c>
      <c r="E60" s="20">
        <f>(E61+E59)/2</f>
        <v>0.29036944999999997</v>
      </c>
      <c r="F60" s="41">
        <v>0.37485183715820314</v>
      </c>
      <c r="G60" s="47">
        <v>0.13628865335144144</v>
      </c>
      <c r="H60" s="46" t="s">
        <v>17</v>
      </c>
      <c r="I60" s="47">
        <v>0.49890000000000001</v>
      </c>
      <c r="J60" s="47">
        <v>0.14069999999999999</v>
      </c>
      <c r="K60" s="47">
        <v>0.1197</v>
      </c>
      <c r="L60" s="49"/>
      <c r="M60" s="49"/>
      <c r="N60" s="47">
        <v>2.3825483157955397E-2</v>
      </c>
      <c r="O60" s="48">
        <v>0.28338000000000002</v>
      </c>
      <c r="P60" s="48">
        <v>3.127859186310177</v>
      </c>
      <c r="Q60" s="48">
        <v>0.60550205615856101</v>
      </c>
    </row>
    <row r="61" spans="1:17" x14ac:dyDescent="0.25">
      <c r="A61" s="5">
        <v>7</v>
      </c>
      <c r="B61" s="5">
        <v>6</v>
      </c>
      <c r="C61" s="6">
        <v>2015</v>
      </c>
      <c r="D61" s="18" t="s">
        <v>24</v>
      </c>
      <c r="E61" s="10">
        <v>0.1727389</v>
      </c>
      <c r="F61" s="41">
        <v>0.38336452484130862</v>
      </c>
      <c r="G61" s="47">
        <v>0.15822026199257141</v>
      </c>
      <c r="H61" s="46" t="s">
        <v>17</v>
      </c>
      <c r="I61" s="47">
        <v>0.49890000000000001</v>
      </c>
      <c r="J61" s="47">
        <v>0.14069999999999999</v>
      </c>
      <c r="K61" s="47">
        <v>0.1197</v>
      </c>
      <c r="L61" s="49"/>
      <c r="M61" s="49"/>
      <c r="N61" s="47">
        <v>2.3484559852189901E-2</v>
      </c>
      <c r="O61" s="48">
        <v>0.28470000000000001</v>
      </c>
      <c r="P61" s="48">
        <v>3.1236460313731658</v>
      </c>
      <c r="Q61" s="48">
        <v>0.59816059257642495</v>
      </c>
    </row>
    <row r="62" spans="1:17" x14ac:dyDescent="0.25">
      <c r="A62" s="5">
        <v>7</v>
      </c>
      <c r="B62" s="5">
        <v>7</v>
      </c>
      <c r="C62" s="6">
        <v>2016</v>
      </c>
      <c r="D62" s="18" t="s">
        <v>24</v>
      </c>
      <c r="E62" s="10">
        <v>0.1727389</v>
      </c>
      <c r="F62" s="41">
        <v>0.37531730651855466</v>
      </c>
      <c r="G62" s="47">
        <v>0.16142957695540908</v>
      </c>
      <c r="H62" s="46" t="s">
        <v>17</v>
      </c>
      <c r="I62" s="47">
        <v>0.49890000000000001</v>
      </c>
      <c r="J62" s="47">
        <v>0.14069999999999999</v>
      </c>
      <c r="K62" s="47">
        <v>0.1197</v>
      </c>
      <c r="L62" s="49"/>
      <c r="M62" s="49"/>
      <c r="N62" s="47">
        <v>2.3092736961209802E-2</v>
      </c>
      <c r="O62" s="48">
        <v>0.28619</v>
      </c>
      <c r="P62" s="48">
        <v>3.1289244232889142</v>
      </c>
      <c r="Q62" s="48">
        <v>0.60183132436749309</v>
      </c>
    </row>
    <row r="63" spans="1:17" x14ac:dyDescent="0.25">
      <c r="A63" s="5">
        <v>7</v>
      </c>
      <c r="B63" s="5">
        <v>8</v>
      </c>
      <c r="C63" s="6">
        <v>2017</v>
      </c>
      <c r="D63" s="18" t="s">
        <v>24</v>
      </c>
      <c r="E63" s="10">
        <v>0.1727389395236969</v>
      </c>
      <c r="F63" s="41">
        <v>0.36913692474365234</v>
      </c>
      <c r="G63" s="47">
        <v>0.16459220455740095</v>
      </c>
      <c r="H63" s="46" t="s">
        <v>17</v>
      </c>
      <c r="I63" s="47">
        <v>0.49890000000000001</v>
      </c>
      <c r="J63" s="47">
        <v>0.14069999999999999</v>
      </c>
      <c r="K63" s="47">
        <v>0.1197</v>
      </c>
      <c r="L63" s="49"/>
      <c r="M63" s="49"/>
      <c r="N63" s="47">
        <v>2.2732445502187199E-2</v>
      </c>
      <c r="O63" s="48">
        <v>0.28783999999999998</v>
      </c>
      <c r="P63" s="48">
        <v>3.1365340667075654</v>
      </c>
      <c r="Q63" s="48">
        <v>0.57252361994176704</v>
      </c>
    </row>
    <row r="64" spans="1:17" x14ac:dyDescent="0.25">
      <c r="A64" s="5">
        <v>7</v>
      </c>
      <c r="B64" s="5">
        <v>9</v>
      </c>
      <c r="C64" s="6">
        <v>2018</v>
      </c>
      <c r="D64" s="18" t="s">
        <v>24</v>
      </c>
      <c r="E64" s="10">
        <v>0.18136946856975555</v>
      </c>
      <c r="F64" s="41">
        <v>0.36471908569335937</v>
      </c>
      <c r="G64" s="47">
        <v>0.15774849641570166</v>
      </c>
      <c r="H64" s="46" t="s">
        <v>17</v>
      </c>
      <c r="I64" s="47">
        <v>0.49890000000000001</v>
      </c>
      <c r="J64" s="47">
        <v>0.14069999999999999</v>
      </c>
      <c r="K64" s="47">
        <v>0.1197</v>
      </c>
      <c r="L64" s="49"/>
      <c r="M64" s="49"/>
      <c r="N64" s="47">
        <v>2.2394163443522599E-2</v>
      </c>
      <c r="O64" s="48">
        <v>0.28965000000000002</v>
      </c>
      <c r="P64" s="48">
        <v>3.1435910934447953</v>
      </c>
      <c r="Q64" s="48">
        <v>0.62869500678217694</v>
      </c>
    </row>
    <row r="65" spans="1:17" x14ac:dyDescent="0.25">
      <c r="A65" s="5">
        <v>8</v>
      </c>
      <c r="B65" s="5">
        <v>1</v>
      </c>
      <c r="C65" s="6">
        <v>2010</v>
      </c>
      <c r="D65" s="21" t="s">
        <v>25</v>
      </c>
      <c r="E65" s="8">
        <v>0.39319860000000001</v>
      </c>
      <c r="F65" s="41">
        <v>0.47893978118896485</v>
      </c>
      <c r="G65" s="47">
        <v>3.7239185289282647E-2</v>
      </c>
      <c r="H65" s="46" t="s">
        <v>19</v>
      </c>
      <c r="I65" s="47">
        <v>0.4849</v>
      </c>
      <c r="J65" s="47">
        <v>0.1444</v>
      </c>
      <c r="K65" s="47">
        <v>0.13450000000000001</v>
      </c>
      <c r="L65" s="47">
        <v>1.3999999999999999E-2</v>
      </c>
      <c r="M65" s="47">
        <v>1.3999999999999999E-2</v>
      </c>
      <c r="N65" s="47">
        <v>3.33113330807202E-2</v>
      </c>
      <c r="O65" s="48">
        <v>0.40012999999999999</v>
      </c>
      <c r="P65" s="48">
        <v>2.5804437231747186</v>
      </c>
      <c r="Q65" s="48">
        <v>0.381317481994629</v>
      </c>
    </row>
    <row r="66" spans="1:17" x14ac:dyDescent="0.25">
      <c r="A66" s="5">
        <v>8</v>
      </c>
      <c r="B66" s="5">
        <v>2</v>
      </c>
      <c r="C66" s="6">
        <v>2011</v>
      </c>
      <c r="D66" s="21" t="s">
        <v>25</v>
      </c>
      <c r="E66" s="8">
        <v>0.39300000000000002</v>
      </c>
      <c r="F66" s="41">
        <v>0.47649307250976564</v>
      </c>
      <c r="G66" s="47">
        <v>4.0229741702683258E-2</v>
      </c>
      <c r="H66" s="46" t="s">
        <v>19</v>
      </c>
      <c r="I66" s="47">
        <v>0.48430000000000001</v>
      </c>
      <c r="J66" s="47">
        <v>0.1447</v>
      </c>
      <c r="K66" s="47">
        <v>0.1346</v>
      </c>
      <c r="L66" s="47">
        <v>1.3999999999999999E-2</v>
      </c>
      <c r="M66" s="47">
        <v>1.9E-2</v>
      </c>
      <c r="N66" s="47">
        <v>3.3376759744511299E-2</v>
      </c>
      <c r="O66" s="48">
        <v>0.40543999999999997</v>
      </c>
      <c r="P66" s="48">
        <v>2.5950729351486359</v>
      </c>
      <c r="Q66" s="48">
        <v>0.40161441802978504</v>
      </c>
    </row>
    <row r="67" spans="1:17" x14ac:dyDescent="0.25">
      <c r="A67" s="5">
        <v>8</v>
      </c>
      <c r="B67" s="5">
        <v>3</v>
      </c>
      <c r="C67" s="6">
        <v>2012</v>
      </c>
      <c r="D67" s="21" t="s">
        <v>25</v>
      </c>
      <c r="E67" s="9">
        <v>0.39300000000000002</v>
      </c>
      <c r="F67" s="41">
        <v>0.47667480468750001</v>
      </c>
      <c r="G67" s="47">
        <v>4.8113355481206946E-2</v>
      </c>
      <c r="H67" s="46" t="s">
        <v>19</v>
      </c>
      <c r="I67" s="47">
        <v>0.48370000000000002</v>
      </c>
      <c r="J67" s="47">
        <v>0.14499999999999999</v>
      </c>
      <c r="K67" s="47">
        <v>0.13469999999999999</v>
      </c>
      <c r="L67" s="47">
        <v>2.7999999999999997E-2</v>
      </c>
      <c r="M67" s="47">
        <v>1.3999999999999999E-2</v>
      </c>
      <c r="N67" s="47">
        <v>3.3375706695607202E-2</v>
      </c>
      <c r="O67" s="48">
        <v>0.41082000000000002</v>
      </c>
      <c r="P67" s="48">
        <v>2.6103099006370063</v>
      </c>
      <c r="Q67" s="48">
        <v>0.40056278228759801</v>
      </c>
    </row>
    <row r="68" spans="1:17" x14ac:dyDescent="0.25">
      <c r="A68" s="5">
        <v>8</v>
      </c>
      <c r="B68" s="5">
        <v>4</v>
      </c>
      <c r="C68" s="6">
        <v>2013</v>
      </c>
      <c r="D68" s="21" t="s">
        <v>25</v>
      </c>
      <c r="E68" s="10">
        <v>0.39200000000000002</v>
      </c>
      <c r="F68" s="41">
        <v>0.46644519805908202</v>
      </c>
      <c r="G68" s="47">
        <v>5.2465013387778384E-2</v>
      </c>
      <c r="H68" s="46" t="s">
        <v>19</v>
      </c>
      <c r="I68" s="47">
        <v>0.49009999999999998</v>
      </c>
      <c r="J68" s="47">
        <v>0.15090000000000001</v>
      </c>
      <c r="K68" s="47">
        <v>0.1333</v>
      </c>
      <c r="L68" s="47">
        <v>4.2999999999999997E-2</v>
      </c>
      <c r="M68" s="47">
        <v>4.7E-2</v>
      </c>
      <c r="N68" s="47">
        <v>3.3313558503662598E-2</v>
      </c>
      <c r="O68" s="48">
        <v>0.41627000000000003</v>
      </c>
      <c r="P68" s="48">
        <v>2.6308939781126122</v>
      </c>
      <c r="Q68" s="48">
        <v>0.39877441406250003</v>
      </c>
    </row>
    <row r="69" spans="1:17" x14ac:dyDescent="0.25">
      <c r="A69" s="5">
        <v>8</v>
      </c>
      <c r="B69" s="5">
        <v>5</v>
      </c>
      <c r="C69" s="6">
        <v>2014</v>
      </c>
      <c r="D69" s="21" t="s">
        <v>25</v>
      </c>
      <c r="E69" s="10">
        <v>0.39215800000000001</v>
      </c>
      <c r="F69" s="41">
        <v>0.45470355987548827</v>
      </c>
      <c r="G69" s="47">
        <v>5.7179804210228176E-2</v>
      </c>
      <c r="H69" s="46" t="s">
        <v>19</v>
      </c>
      <c r="I69" s="47">
        <v>0.49640000000000001</v>
      </c>
      <c r="J69" s="47">
        <v>0.15679999999999999</v>
      </c>
      <c r="K69" s="47">
        <v>0.13189999999999999</v>
      </c>
      <c r="L69" s="47">
        <v>6.7000000000000004E-2</v>
      </c>
      <c r="M69" s="47">
        <v>4.2999999999999997E-2</v>
      </c>
      <c r="N69" s="47">
        <v>3.3196781579458295E-2</v>
      </c>
      <c r="O69" s="48">
        <v>0.42180000000000001</v>
      </c>
      <c r="P69" s="48">
        <v>2.6554646581402159</v>
      </c>
      <c r="Q69" s="48">
        <v>0.42731338500976596</v>
      </c>
    </row>
    <row r="70" spans="1:17" x14ac:dyDescent="0.25">
      <c r="A70" s="5">
        <v>8</v>
      </c>
      <c r="B70" s="5">
        <v>6</v>
      </c>
      <c r="C70" s="6">
        <v>2015</v>
      </c>
      <c r="D70" s="21" t="s">
        <v>25</v>
      </c>
      <c r="E70" s="12">
        <v>0.40085120000000002</v>
      </c>
      <c r="F70" s="41">
        <v>0.45675956726074218</v>
      </c>
      <c r="G70" s="47">
        <v>6.2855111270692543E-2</v>
      </c>
      <c r="H70" s="46" t="s">
        <v>19</v>
      </c>
      <c r="I70" s="47">
        <v>0.50270000000000004</v>
      </c>
      <c r="J70" s="47">
        <v>0.16270000000000001</v>
      </c>
      <c r="K70" s="47">
        <v>0.13059999999999999</v>
      </c>
      <c r="L70" s="47">
        <v>7.5999999999999998E-2</v>
      </c>
      <c r="M70" s="47">
        <v>3.7999999999999999E-2</v>
      </c>
      <c r="N70" s="47">
        <v>3.3028191819645995E-2</v>
      </c>
      <c r="O70" s="48">
        <v>0.4274</v>
      </c>
      <c r="P70" s="48">
        <v>2.6701665783231223</v>
      </c>
      <c r="Q70" s="48">
        <v>0.43824039459228503</v>
      </c>
    </row>
    <row r="71" spans="1:17" x14ac:dyDescent="0.25">
      <c r="A71" s="5">
        <v>8</v>
      </c>
      <c r="B71" s="5">
        <v>7</v>
      </c>
      <c r="C71" s="6">
        <v>2016</v>
      </c>
      <c r="D71" s="21" t="s">
        <v>25</v>
      </c>
      <c r="E71" s="10">
        <v>0.40085120000000002</v>
      </c>
      <c r="F71" s="41">
        <v>0.44557651519775393</v>
      </c>
      <c r="G71" s="47">
        <v>7.3927886990719088E-2</v>
      </c>
      <c r="H71" s="46" t="s">
        <v>19</v>
      </c>
      <c r="I71" s="47">
        <v>0.5091</v>
      </c>
      <c r="J71" s="47">
        <v>0.16869999999999999</v>
      </c>
      <c r="K71" s="47">
        <v>0.12920000000000001</v>
      </c>
      <c r="L71" s="47">
        <v>6.7000000000000004E-2</v>
      </c>
      <c r="M71" s="47">
        <v>5.2000000000000005E-2</v>
      </c>
      <c r="N71" s="47">
        <v>3.28293417455056E-2</v>
      </c>
      <c r="O71" s="48">
        <v>0.43307000000000001</v>
      </c>
      <c r="P71" s="48">
        <v>2.6650855822870447</v>
      </c>
      <c r="Q71" s="48">
        <v>0.43277688980102552</v>
      </c>
    </row>
    <row r="72" spans="1:17" x14ac:dyDescent="0.25">
      <c r="A72" s="5">
        <v>8</v>
      </c>
      <c r="B72" s="5">
        <v>8</v>
      </c>
      <c r="C72" s="6">
        <v>2017</v>
      </c>
      <c r="D72" s="21" t="s">
        <v>25</v>
      </c>
      <c r="E72" s="10">
        <v>0.40085119009017944</v>
      </c>
      <c r="F72" s="41">
        <v>0.43569099426269531</v>
      </c>
      <c r="G72" s="47">
        <v>5.4658396945750184E-2</v>
      </c>
      <c r="H72" s="46" t="s">
        <v>19</v>
      </c>
      <c r="I72" s="47">
        <v>0.51539999999999997</v>
      </c>
      <c r="J72" s="47">
        <v>0.17460000000000001</v>
      </c>
      <c r="K72" s="47">
        <v>0.1278</v>
      </c>
      <c r="L72" s="47">
        <v>5.2000000000000005E-2</v>
      </c>
      <c r="M72" s="47">
        <v>4.8000000000000001E-2</v>
      </c>
      <c r="N72" s="47">
        <v>3.2585057717000904E-2</v>
      </c>
      <c r="O72" s="48">
        <v>0.43880000000000002</v>
      </c>
      <c r="P72" s="48">
        <v>2.6650956992363231</v>
      </c>
      <c r="Q72" s="48">
        <v>0.43550864219665525</v>
      </c>
    </row>
    <row r="73" spans="1:17" x14ac:dyDescent="0.25">
      <c r="A73" s="5">
        <v>8</v>
      </c>
      <c r="B73" s="5">
        <v>9</v>
      </c>
      <c r="C73" s="6">
        <v>2018</v>
      </c>
      <c r="D73" s="21" t="s">
        <v>25</v>
      </c>
      <c r="E73" s="10">
        <v>0.37804412841796875</v>
      </c>
      <c r="F73" s="41">
        <v>0.43040267944335936</v>
      </c>
      <c r="G73" s="47">
        <v>5.8044005157438523E-2</v>
      </c>
      <c r="H73" s="46" t="s">
        <v>19</v>
      </c>
      <c r="I73" s="47">
        <v>0.52170000000000005</v>
      </c>
      <c r="J73" s="47">
        <v>0.18049999999999999</v>
      </c>
      <c r="K73" s="47">
        <v>0.1265</v>
      </c>
      <c r="L73" s="47">
        <v>3.7999999999999999E-2</v>
      </c>
      <c r="M73" s="47">
        <v>5.7000000000000002E-2</v>
      </c>
      <c r="N73" s="47">
        <v>3.2266988613531195E-2</v>
      </c>
      <c r="O73" s="48">
        <v>0.4446</v>
      </c>
      <c r="P73" s="48">
        <v>2.6751310699429509</v>
      </c>
      <c r="Q73" s="48">
        <v>0.43414276599884039</v>
      </c>
    </row>
    <row r="74" spans="1:17" x14ac:dyDescent="0.25">
      <c r="A74" s="5">
        <v>9</v>
      </c>
      <c r="B74" s="5">
        <v>1</v>
      </c>
      <c r="C74" s="6">
        <v>2010</v>
      </c>
      <c r="D74" s="22" t="s">
        <v>26</v>
      </c>
      <c r="E74" s="8">
        <v>0.2702735</v>
      </c>
      <c r="F74" s="41">
        <v>0.4422711181640625</v>
      </c>
      <c r="G74" s="47">
        <v>5.9797400792006947E-2</v>
      </c>
      <c r="H74" s="46" t="s">
        <v>17</v>
      </c>
      <c r="I74" s="47">
        <v>0.55370000000000008</v>
      </c>
      <c r="J74" s="47">
        <v>0.20150000000000001</v>
      </c>
      <c r="K74" s="47">
        <v>0.10580000000000001</v>
      </c>
      <c r="L74" s="47">
        <v>0.124</v>
      </c>
      <c r="M74" s="47">
        <v>8.5999999999999993E-2</v>
      </c>
      <c r="N74" s="47">
        <v>3.0489568388215801E-2</v>
      </c>
      <c r="O74" s="48">
        <v>0.63256000000000001</v>
      </c>
      <c r="P74" s="48">
        <v>3.3677816341430953</v>
      </c>
      <c r="Q74" s="48">
        <v>0</v>
      </c>
    </row>
    <row r="75" spans="1:17" x14ac:dyDescent="0.25">
      <c r="A75" s="5">
        <v>9</v>
      </c>
      <c r="B75" s="5">
        <v>2</v>
      </c>
      <c r="C75" s="6">
        <v>2011</v>
      </c>
      <c r="D75" s="22" t="s">
        <v>26</v>
      </c>
      <c r="E75" s="8">
        <v>0.20799999999999999</v>
      </c>
      <c r="F75" s="41">
        <v>0.44385845184326173</v>
      </c>
      <c r="G75" s="47">
        <v>7.1693853999239318E-2</v>
      </c>
      <c r="H75" s="46" t="s">
        <v>17</v>
      </c>
      <c r="I75" s="47">
        <v>0.55569999999999997</v>
      </c>
      <c r="J75" s="47">
        <v>0.2039</v>
      </c>
      <c r="K75" s="47">
        <v>0.1048</v>
      </c>
      <c r="L75" s="47">
        <v>0.12300000000000001</v>
      </c>
      <c r="M75" s="47">
        <v>8.5000000000000006E-2</v>
      </c>
      <c r="N75" s="47">
        <v>2.7942726418925798E-2</v>
      </c>
      <c r="O75" s="48">
        <v>0.63712000000000002</v>
      </c>
      <c r="P75" s="48">
        <v>3.3631405510753565</v>
      </c>
      <c r="Q75" s="48">
        <v>0</v>
      </c>
    </row>
    <row r="76" spans="1:17" x14ac:dyDescent="0.25">
      <c r="A76" s="5">
        <v>9</v>
      </c>
      <c r="B76" s="5">
        <v>3</v>
      </c>
      <c r="C76" s="6">
        <v>2012</v>
      </c>
      <c r="D76" s="22" t="s">
        <v>26</v>
      </c>
      <c r="E76" s="9">
        <v>0.20799999999999999</v>
      </c>
      <c r="F76" s="41">
        <v>0.44190315246582029</v>
      </c>
      <c r="G76" s="47">
        <v>7.4127543332239587E-2</v>
      </c>
      <c r="H76" s="46" t="s">
        <v>17</v>
      </c>
      <c r="I76" s="47">
        <v>0.55620000000000003</v>
      </c>
      <c r="J76" s="47">
        <v>0.20480000000000001</v>
      </c>
      <c r="K76" s="47">
        <v>0.1047</v>
      </c>
      <c r="L76" s="47">
        <v>0.1</v>
      </c>
      <c r="M76" s="47">
        <v>0.109</v>
      </c>
      <c r="N76" s="47">
        <v>2.5909252722338502E-2</v>
      </c>
      <c r="O76" s="48">
        <v>0.64168999999999998</v>
      </c>
      <c r="P76" s="48">
        <v>3.3921798930081004</v>
      </c>
      <c r="Q76" s="48">
        <v>0.50782360076904298</v>
      </c>
    </row>
    <row r="77" spans="1:17" x14ac:dyDescent="0.25">
      <c r="A77" s="5">
        <v>9</v>
      </c>
      <c r="B77" s="5">
        <v>4</v>
      </c>
      <c r="C77" s="6">
        <v>2013</v>
      </c>
      <c r="D77" s="22" t="s">
        <v>26</v>
      </c>
      <c r="E77" s="10">
        <v>0.20799999999999999</v>
      </c>
      <c r="F77" s="41">
        <v>0.43902614593505862</v>
      </c>
      <c r="G77" s="47">
        <v>8.8786728052564781E-2</v>
      </c>
      <c r="H77" s="46" t="s">
        <v>17</v>
      </c>
      <c r="I77" s="47">
        <v>0.55680000000000007</v>
      </c>
      <c r="J77" s="47">
        <v>0.20599999999999999</v>
      </c>
      <c r="K77" s="47">
        <v>0.1046</v>
      </c>
      <c r="L77" s="47">
        <v>0.10400000000000001</v>
      </c>
      <c r="M77" s="47">
        <v>0.11800000000000001</v>
      </c>
      <c r="N77" s="47">
        <v>2.4650447083840898E-2</v>
      </c>
      <c r="O77" s="48">
        <v>0.6462699999999999</v>
      </c>
      <c r="P77" s="48">
        <v>3.3785173698994431</v>
      </c>
      <c r="Q77" s="48">
        <v>0</v>
      </c>
    </row>
    <row r="78" spans="1:17" x14ac:dyDescent="0.25">
      <c r="A78" s="5">
        <v>9</v>
      </c>
      <c r="B78" s="5">
        <v>5</v>
      </c>
      <c r="C78" s="6">
        <v>2014</v>
      </c>
      <c r="D78" s="22" t="s">
        <v>26</v>
      </c>
      <c r="E78" s="10">
        <v>0.18134</v>
      </c>
      <c r="F78" s="41">
        <v>0.42800064086914064</v>
      </c>
      <c r="G78" s="47">
        <v>0.11159852525891793</v>
      </c>
      <c r="H78" s="46" t="s">
        <v>17</v>
      </c>
      <c r="I78" s="47">
        <v>0.55580000000000007</v>
      </c>
      <c r="J78" s="47">
        <v>0.2041</v>
      </c>
      <c r="K78" s="47">
        <v>0.1048</v>
      </c>
      <c r="L78" s="47">
        <v>9.0999999999999998E-2</v>
      </c>
      <c r="M78" s="47">
        <v>0.13500000000000001</v>
      </c>
      <c r="N78" s="47">
        <v>2.4405354917730004E-2</v>
      </c>
      <c r="O78" s="48">
        <v>0.65084999999999993</v>
      </c>
      <c r="P78" s="48">
        <v>3.3959692645271051</v>
      </c>
      <c r="Q78" s="48">
        <v>0</v>
      </c>
    </row>
    <row r="79" spans="1:17" x14ac:dyDescent="0.25">
      <c r="A79" s="5">
        <v>9</v>
      </c>
      <c r="B79" s="5">
        <v>6</v>
      </c>
      <c r="C79" s="6">
        <v>2015</v>
      </c>
      <c r="D79" s="22" t="s">
        <v>26</v>
      </c>
      <c r="E79" s="10">
        <v>0.1813401</v>
      </c>
      <c r="F79" s="41">
        <v>0.4209500503540039</v>
      </c>
      <c r="G79" s="47">
        <v>0.15227252169824557</v>
      </c>
      <c r="H79" s="46" t="s">
        <v>17</v>
      </c>
      <c r="I79" s="47">
        <v>0.55569999999999997</v>
      </c>
      <c r="J79" s="47">
        <v>0.2039</v>
      </c>
      <c r="K79" s="47">
        <v>0.1048</v>
      </c>
      <c r="L79" s="47">
        <v>9.5000000000000001E-2</v>
      </c>
      <c r="M79" s="47">
        <v>0.13300000000000001</v>
      </c>
      <c r="N79" s="47">
        <v>2.4837569867164698E-2</v>
      </c>
      <c r="O79" s="48">
        <v>0.65543000000000007</v>
      </c>
      <c r="P79" s="48">
        <v>3.3872744549323595</v>
      </c>
      <c r="Q79" s="48">
        <v>0</v>
      </c>
    </row>
    <row r="80" spans="1:17" x14ac:dyDescent="0.25">
      <c r="A80" s="5">
        <v>9</v>
      </c>
      <c r="B80" s="5">
        <v>7</v>
      </c>
      <c r="C80" s="6">
        <v>2016</v>
      </c>
      <c r="D80" s="22" t="s">
        <v>26</v>
      </c>
      <c r="E80" s="10">
        <v>0.1813401</v>
      </c>
      <c r="F80" s="41">
        <v>0.43868919372558596</v>
      </c>
      <c r="G80" s="47">
        <v>0.17939564992759782</v>
      </c>
      <c r="H80" s="46" t="s">
        <v>17</v>
      </c>
      <c r="I80" s="47">
        <v>0.55569999999999997</v>
      </c>
      <c r="J80" s="47">
        <v>0.2039</v>
      </c>
      <c r="K80" s="47">
        <v>0.1048</v>
      </c>
      <c r="L80" s="47">
        <v>0.105</v>
      </c>
      <c r="M80" s="47">
        <v>0.11</v>
      </c>
      <c r="N80" s="47">
        <v>2.53956659003454E-2</v>
      </c>
      <c r="O80" s="48">
        <v>0.6600100000000001</v>
      </c>
      <c r="P80" s="48">
        <v>3.3372981136376754</v>
      </c>
      <c r="Q80" s="48">
        <v>0</v>
      </c>
    </row>
    <row r="81" spans="1:17" x14ac:dyDescent="0.25">
      <c r="A81" s="5">
        <v>9</v>
      </c>
      <c r="B81" s="5">
        <v>8</v>
      </c>
      <c r="C81" s="6">
        <v>2017</v>
      </c>
      <c r="D81" s="22" t="s">
        <v>26</v>
      </c>
      <c r="E81" s="10">
        <v>0.18134012818336487</v>
      </c>
      <c r="F81" s="41">
        <v>0.45291812896728517</v>
      </c>
      <c r="G81" s="47">
        <v>0.15784514445444164</v>
      </c>
      <c r="H81" s="46" t="s">
        <v>17</v>
      </c>
      <c r="I81" s="47">
        <v>0.55569999999999997</v>
      </c>
      <c r="J81" s="47">
        <v>0.2039</v>
      </c>
      <c r="K81" s="47">
        <v>0.1048</v>
      </c>
      <c r="L81" s="47">
        <v>7.5999999999999998E-2</v>
      </c>
      <c r="M81" s="47">
        <v>0.09</v>
      </c>
      <c r="N81" s="47">
        <v>2.5706705763881697E-2</v>
      </c>
      <c r="O81" s="48">
        <v>0.66459000000000001</v>
      </c>
      <c r="P81" s="48">
        <v>3.3017397497726027</v>
      </c>
      <c r="Q81" s="48">
        <v>0</v>
      </c>
    </row>
    <row r="82" spans="1:17" x14ac:dyDescent="0.25">
      <c r="A82" s="5">
        <v>9</v>
      </c>
      <c r="B82" s="5">
        <v>9</v>
      </c>
      <c r="C82" s="6">
        <v>2018</v>
      </c>
      <c r="D82" s="22" t="s">
        <v>26</v>
      </c>
      <c r="E82" s="10">
        <v>0.18473893404006958</v>
      </c>
      <c r="F82" s="41">
        <v>0.44942356109619142</v>
      </c>
      <c r="G82" s="47">
        <v>0.1300357811174879</v>
      </c>
      <c r="H82" s="46" t="s">
        <v>17</v>
      </c>
      <c r="I82" s="47">
        <v>0.55569999999999997</v>
      </c>
      <c r="J82" s="47">
        <v>0.2039</v>
      </c>
      <c r="K82" s="47">
        <v>0.1048</v>
      </c>
      <c r="L82" s="47">
        <v>8.1000000000000003E-2</v>
      </c>
      <c r="M82" s="47">
        <v>0.1</v>
      </c>
      <c r="N82" s="47">
        <v>2.58172086705774E-2</v>
      </c>
      <c r="O82" s="48">
        <v>0.66915999999999998</v>
      </c>
      <c r="P82" s="48">
        <v>3.2810233711316044</v>
      </c>
      <c r="Q82" s="48">
        <v>0.65620803196742306</v>
      </c>
    </row>
    <row r="83" spans="1:17" x14ac:dyDescent="0.25">
      <c r="A83" s="5">
        <v>10</v>
      </c>
      <c r="B83" s="5">
        <v>1</v>
      </c>
      <c r="C83" s="6">
        <v>2010</v>
      </c>
      <c r="D83" s="23" t="s">
        <v>27</v>
      </c>
      <c r="E83" s="8">
        <v>0.32019389999999998</v>
      </c>
      <c r="F83" s="41">
        <v>0.44051452636718752</v>
      </c>
      <c r="G83" s="47">
        <v>0.13087871959380495</v>
      </c>
      <c r="H83" s="49" t="s">
        <v>28</v>
      </c>
      <c r="I83" s="47">
        <v>0.50180000000000002</v>
      </c>
      <c r="J83" s="47">
        <v>0.13</v>
      </c>
      <c r="K83" s="47">
        <v>0.1797</v>
      </c>
      <c r="L83" s="47">
        <v>0.11</v>
      </c>
      <c r="M83" s="47">
        <v>6.7000000000000004E-2</v>
      </c>
      <c r="N83" s="47">
        <v>2.3345361455657198E-2</v>
      </c>
      <c r="O83" s="48">
        <v>0.4733</v>
      </c>
      <c r="P83" s="48">
        <v>3.1876699550725398</v>
      </c>
      <c r="Q83" s="48">
        <v>0.39471894025802629</v>
      </c>
    </row>
    <row r="84" spans="1:17" x14ac:dyDescent="0.25">
      <c r="A84" s="5">
        <v>10</v>
      </c>
      <c r="B84" s="5">
        <v>2</v>
      </c>
      <c r="C84" s="6">
        <v>2011</v>
      </c>
      <c r="D84" s="23" t="s">
        <v>27</v>
      </c>
      <c r="E84" s="8">
        <v>0.35299999999999998</v>
      </c>
      <c r="F84" s="41">
        <v>0.44474349975585936</v>
      </c>
      <c r="G84" s="47">
        <v>0.13168148828706006</v>
      </c>
      <c r="H84" s="49" t="s">
        <v>28</v>
      </c>
      <c r="I84" s="47">
        <v>0.4919</v>
      </c>
      <c r="J84" s="47">
        <v>0.1308</v>
      </c>
      <c r="K84" s="47">
        <v>0.17660000000000001</v>
      </c>
      <c r="L84" s="47">
        <v>0.16600000000000001</v>
      </c>
      <c r="M84" s="47">
        <v>0.109</v>
      </c>
      <c r="N84" s="47">
        <v>2.3855268101220801E-2</v>
      </c>
      <c r="O84" s="48">
        <v>0.47750999999999999</v>
      </c>
      <c r="P84" s="48">
        <v>3.1542610101805817</v>
      </c>
      <c r="Q84" s="48">
        <v>0.39671152591705339</v>
      </c>
    </row>
    <row r="85" spans="1:17" x14ac:dyDescent="0.25">
      <c r="A85" s="5">
        <v>10</v>
      </c>
      <c r="B85" s="5">
        <v>3</v>
      </c>
      <c r="C85" s="6">
        <v>2012</v>
      </c>
      <c r="D85" s="23" t="s">
        <v>27</v>
      </c>
      <c r="E85" s="9">
        <v>0.35299999999999998</v>
      </c>
      <c r="F85" s="41">
        <v>0.43839477539062499</v>
      </c>
      <c r="G85" s="47">
        <v>0.13683455540714326</v>
      </c>
      <c r="H85" s="49" t="s">
        <v>28</v>
      </c>
      <c r="I85" s="47">
        <v>0.49419999999999997</v>
      </c>
      <c r="J85" s="47">
        <v>0.1318</v>
      </c>
      <c r="K85" s="47">
        <v>0.18160000000000001</v>
      </c>
      <c r="L85" s="47">
        <v>0.218</v>
      </c>
      <c r="M85" s="47">
        <v>0.13300000000000001</v>
      </c>
      <c r="N85" s="47">
        <v>2.4359432042715897E-2</v>
      </c>
      <c r="O85" s="48">
        <v>0.48171999999999998</v>
      </c>
      <c r="P85" s="48">
        <v>3.1770844630060391</v>
      </c>
      <c r="Q85" s="48">
        <v>0.39272635459899924</v>
      </c>
    </row>
    <row r="86" spans="1:17" x14ac:dyDescent="0.25">
      <c r="A86" s="5">
        <v>10</v>
      </c>
      <c r="B86" s="5">
        <v>4</v>
      </c>
      <c r="C86" s="6">
        <v>2013</v>
      </c>
      <c r="D86" s="23" t="s">
        <v>27</v>
      </c>
      <c r="E86" s="10">
        <v>0.35299999999999998</v>
      </c>
      <c r="F86" s="41">
        <v>0.4290573501586914</v>
      </c>
      <c r="G86" s="47">
        <v>0.14317568604292194</v>
      </c>
      <c r="H86" s="49" t="s">
        <v>28</v>
      </c>
      <c r="I86" s="47">
        <v>0.49559999999999998</v>
      </c>
      <c r="J86" s="47">
        <v>0.13120000000000001</v>
      </c>
      <c r="K86" s="47">
        <v>0.17080000000000001</v>
      </c>
      <c r="L86" s="47">
        <v>0.251</v>
      </c>
      <c r="M86" s="47">
        <v>0.185</v>
      </c>
      <c r="N86" s="47">
        <v>2.4766788496059799E-2</v>
      </c>
      <c r="O86" s="48">
        <v>0.48593000000000003</v>
      </c>
      <c r="P86" s="48">
        <v>3.2128071982855393</v>
      </c>
      <c r="Q86" s="48">
        <v>0.40069669723510748</v>
      </c>
    </row>
    <row r="87" spans="1:17" x14ac:dyDescent="0.25">
      <c r="A87" s="5">
        <v>10</v>
      </c>
      <c r="B87" s="5">
        <v>5</v>
      </c>
      <c r="C87" s="6">
        <v>2014</v>
      </c>
      <c r="D87" s="23" t="s">
        <v>27</v>
      </c>
      <c r="E87" s="10">
        <v>0.31015199999999998</v>
      </c>
      <c r="F87" s="41">
        <v>0.41968952178955077</v>
      </c>
      <c r="G87" s="47">
        <v>0.14690699809991201</v>
      </c>
      <c r="H87" s="49" t="s">
        <v>28</v>
      </c>
      <c r="I87" s="47">
        <v>0.48799999999999999</v>
      </c>
      <c r="J87" s="47">
        <v>0.13289999999999999</v>
      </c>
      <c r="K87" s="47">
        <v>0.17499999999999999</v>
      </c>
      <c r="L87" s="47">
        <v>0.42299999999999999</v>
      </c>
      <c r="M87" s="47">
        <v>0.192</v>
      </c>
      <c r="N87" s="47">
        <v>2.5044955897076601E-2</v>
      </c>
      <c r="O87" s="48">
        <v>0.49014000000000002</v>
      </c>
      <c r="P87" s="48">
        <v>3.2411819909768624</v>
      </c>
      <c r="Q87" s="48">
        <v>0.384756011962891</v>
      </c>
    </row>
    <row r="88" spans="1:17" x14ac:dyDescent="0.25">
      <c r="A88" s="5">
        <v>10</v>
      </c>
      <c r="B88" s="5">
        <v>6</v>
      </c>
      <c r="C88" s="6">
        <v>2015</v>
      </c>
      <c r="D88" s="23" t="s">
        <v>27</v>
      </c>
      <c r="E88" s="10">
        <v>0.31015209999999999</v>
      </c>
      <c r="F88" s="41">
        <v>0.40559627532958986</v>
      </c>
      <c r="G88" s="47">
        <v>0.16741711629180059</v>
      </c>
      <c r="H88" s="49" t="s">
        <v>28</v>
      </c>
      <c r="I88" s="47">
        <v>0.49769999999999998</v>
      </c>
      <c r="J88" s="47">
        <v>0.13059999999999999</v>
      </c>
      <c r="K88" s="47">
        <v>0.17660000000000001</v>
      </c>
      <c r="L88" s="47">
        <v>0.39</v>
      </c>
      <c r="M88" s="47">
        <v>0.24299999999999999</v>
      </c>
      <c r="N88" s="47">
        <v>2.5221647782671202E-2</v>
      </c>
      <c r="O88" s="48">
        <v>0.49444000000000005</v>
      </c>
      <c r="P88" s="48">
        <v>3.2588092788058485</v>
      </c>
      <c r="Q88" s="48">
        <v>0.41663738250732402</v>
      </c>
    </row>
    <row r="89" spans="1:17" x14ac:dyDescent="0.25">
      <c r="A89" s="5">
        <v>10</v>
      </c>
      <c r="B89" s="5">
        <v>7</v>
      </c>
      <c r="C89" s="6">
        <v>2016</v>
      </c>
      <c r="D89" s="23" t="s">
        <v>27</v>
      </c>
      <c r="E89" s="10">
        <v>0.31015209999999999</v>
      </c>
      <c r="F89" s="41">
        <v>0.39709907531738281</v>
      </c>
      <c r="G89" s="47">
        <v>0.17669430799874339</v>
      </c>
      <c r="H89" s="49" t="s">
        <v>28</v>
      </c>
      <c r="I89" s="47">
        <v>0.49030000000000001</v>
      </c>
      <c r="J89" s="47">
        <v>0.13250000000000001</v>
      </c>
      <c r="K89" s="47">
        <v>0.1757</v>
      </c>
      <c r="L89" s="47">
        <v>0.33799999999999997</v>
      </c>
      <c r="M89" s="47">
        <v>0.248</v>
      </c>
      <c r="N89" s="47">
        <v>2.5361286052499699E-2</v>
      </c>
      <c r="O89" s="48">
        <v>0.49880999999999998</v>
      </c>
      <c r="P89" s="48">
        <v>3.2762958167014276</v>
      </c>
      <c r="Q89" s="48">
        <v>0.438949584960938</v>
      </c>
    </row>
    <row r="90" spans="1:17" x14ac:dyDescent="0.25">
      <c r="A90" s="5">
        <v>10</v>
      </c>
      <c r="B90" s="5">
        <v>8</v>
      </c>
      <c r="C90" s="6">
        <v>2017</v>
      </c>
      <c r="D90" s="23" t="s">
        <v>27</v>
      </c>
      <c r="E90" s="10">
        <v>0.31015214323997498</v>
      </c>
      <c r="F90" s="41">
        <v>0.39829460144042966</v>
      </c>
      <c r="G90" s="47">
        <v>0.19250513481787554</v>
      </c>
      <c r="H90" s="49" t="s">
        <v>28</v>
      </c>
      <c r="I90" s="47">
        <v>0.49030000000000001</v>
      </c>
      <c r="J90" s="47">
        <v>0.13239999999999999</v>
      </c>
      <c r="K90" s="47">
        <v>0.17630000000000001</v>
      </c>
      <c r="L90" s="47">
        <v>0.36700000000000005</v>
      </c>
      <c r="M90" s="47">
        <v>0.20499999999999999</v>
      </c>
      <c r="N90" s="47">
        <v>2.5477815702274097E-2</v>
      </c>
      <c r="O90" s="48">
        <v>0.50326000000000004</v>
      </c>
      <c r="P90" s="48">
        <v>3.295086211197026</v>
      </c>
      <c r="Q90" s="48">
        <v>0.468549613952637</v>
      </c>
    </row>
    <row r="91" spans="1:17" x14ac:dyDescent="0.25">
      <c r="A91" s="5">
        <v>10</v>
      </c>
      <c r="B91" s="5">
        <v>9</v>
      </c>
      <c r="C91" s="6">
        <v>2018</v>
      </c>
      <c r="D91" s="23" t="s">
        <v>27</v>
      </c>
      <c r="E91" s="10">
        <v>0.23618066310882568</v>
      </c>
      <c r="F91" s="41">
        <v>0.38693267822265626</v>
      </c>
      <c r="G91" s="47">
        <v>0.19274827827380603</v>
      </c>
      <c r="H91" s="49" t="s">
        <v>28</v>
      </c>
      <c r="I91" s="47">
        <v>0.48509999999999998</v>
      </c>
      <c r="J91" s="47">
        <v>0.1336</v>
      </c>
      <c r="K91" s="47">
        <v>0.17019999999999999</v>
      </c>
      <c r="L91" s="47">
        <v>0.34299999999999997</v>
      </c>
      <c r="M91" s="47">
        <v>0.28600000000000003</v>
      </c>
      <c r="N91" s="47">
        <v>2.5523223412396899E-2</v>
      </c>
      <c r="O91" s="48">
        <v>0.50779000000000007</v>
      </c>
      <c r="P91" s="48">
        <v>3.3039134712916343</v>
      </c>
      <c r="Q91" s="48">
        <v>0.49045799255371103</v>
      </c>
    </row>
    <row r="92" spans="1:17" x14ac:dyDescent="0.25">
      <c r="A92" s="5">
        <v>11</v>
      </c>
      <c r="B92" s="5">
        <v>1</v>
      </c>
      <c r="C92" s="6">
        <v>2010</v>
      </c>
      <c r="D92" s="24" t="s">
        <v>29</v>
      </c>
      <c r="E92" s="8">
        <v>0.13853799999999999</v>
      </c>
      <c r="F92" s="41"/>
      <c r="G92" s="47">
        <v>0.33110165136415753</v>
      </c>
      <c r="H92" s="49" t="s">
        <v>28</v>
      </c>
      <c r="I92" s="47">
        <v>0.50600000000000001</v>
      </c>
      <c r="J92" s="47">
        <v>0.1671</v>
      </c>
      <c r="K92" s="47">
        <v>0.1278</v>
      </c>
      <c r="L92" s="49"/>
      <c r="M92" s="49"/>
      <c r="N92" s="47">
        <v>1.48370781049189E-2</v>
      </c>
      <c r="O92" s="48">
        <v>0.76998999999999995</v>
      </c>
      <c r="P92" s="48"/>
      <c r="Q92" s="48">
        <v>0</v>
      </c>
    </row>
    <row r="93" spans="1:17" x14ac:dyDescent="0.25">
      <c r="A93" s="5">
        <v>11</v>
      </c>
      <c r="B93" s="5">
        <v>2</v>
      </c>
      <c r="C93" s="6">
        <v>2011</v>
      </c>
      <c r="D93" s="24" t="s">
        <v>29</v>
      </c>
      <c r="E93" s="8">
        <v>0.13900000000000001</v>
      </c>
      <c r="F93" s="41"/>
      <c r="G93" s="47">
        <v>0.30908833958864235</v>
      </c>
      <c r="H93" s="49" t="s">
        <v>28</v>
      </c>
      <c r="I93" s="47">
        <v>0.51</v>
      </c>
      <c r="J93" s="47">
        <v>0.16889999999999999</v>
      </c>
      <c r="K93" s="47">
        <v>0.1258</v>
      </c>
      <c r="L93" s="49"/>
      <c r="M93" s="49"/>
      <c r="N93" s="47">
        <v>1.5913056107747899E-2</v>
      </c>
      <c r="O93" s="48">
        <v>0.77063999999999988</v>
      </c>
      <c r="P93" s="48"/>
      <c r="Q93" s="48">
        <v>0</v>
      </c>
    </row>
    <row r="94" spans="1:17" x14ac:dyDescent="0.25">
      <c r="A94" s="5">
        <v>11</v>
      </c>
      <c r="B94" s="5">
        <v>3</v>
      </c>
      <c r="C94" s="6">
        <v>2012</v>
      </c>
      <c r="D94" s="24" t="s">
        <v>29</v>
      </c>
      <c r="E94" s="19">
        <v>0.13900000000000001</v>
      </c>
      <c r="F94" s="41"/>
      <c r="G94" s="47">
        <v>0.28930898843159342</v>
      </c>
      <c r="H94" s="49" t="s">
        <v>28</v>
      </c>
      <c r="I94" s="47">
        <v>0.51400000000000001</v>
      </c>
      <c r="J94" s="47">
        <v>0.17069999999999999</v>
      </c>
      <c r="K94" s="47">
        <v>0.12379999999999999</v>
      </c>
      <c r="L94" s="49"/>
      <c r="M94" s="49"/>
      <c r="N94" s="47">
        <v>1.6802510753988999E-2</v>
      </c>
      <c r="O94" s="48">
        <v>0.77138000000000007</v>
      </c>
      <c r="P94" s="48"/>
      <c r="Q94" s="48">
        <v>0</v>
      </c>
    </row>
    <row r="95" spans="1:17" x14ac:dyDescent="0.25">
      <c r="A95" s="5">
        <v>11</v>
      </c>
      <c r="B95" s="5">
        <v>4</v>
      </c>
      <c r="C95" s="6">
        <v>2013</v>
      </c>
      <c r="D95" s="24" t="s">
        <v>29</v>
      </c>
      <c r="E95" s="10">
        <v>0.13900000000000001</v>
      </c>
      <c r="F95" s="41"/>
      <c r="G95" s="47">
        <v>0.22163985551703078</v>
      </c>
      <c r="H95" s="49" t="s">
        <v>28</v>
      </c>
      <c r="I95" s="47">
        <v>0.50919999999999999</v>
      </c>
      <c r="J95" s="47">
        <v>0.16289999999999999</v>
      </c>
      <c r="K95" s="47">
        <v>0.12770000000000001</v>
      </c>
      <c r="L95" s="49"/>
      <c r="M95" s="49"/>
      <c r="N95" s="47">
        <v>1.7311980853407301E-2</v>
      </c>
      <c r="O95" s="48">
        <v>0.77221999999999991</v>
      </c>
      <c r="P95" s="48">
        <v>3.3300967507017445</v>
      </c>
      <c r="Q95" s="48">
        <v>0</v>
      </c>
    </row>
    <row r="96" spans="1:17" x14ac:dyDescent="0.25">
      <c r="A96" s="5">
        <v>11</v>
      </c>
      <c r="B96" s="5">
        <v>5</v>
      </c>
      <c r="C96" s="6">
        <v>2014</v>
      </c>
      <c r="D96" s="24" t="s">
        <v>29</v>
      </c>
      <c r="E96" s="10">
        <v>0.13853799999999999</v>
      </c>
      <c r="F96" s="41"/>
      <c r="G96" s="47">
        <v>0.22197266280689693</v>
      </c>
      <c r="H96" s="49" t="s">
        <v>28</v>
      </c>
      <c r="I96" s="47">
        <v>0.50480000000000003</v>
      </c>
      <c r="J96" s="47">
        <v>0.1615</v>
      </c>
      <c r="K96" s="47">
        <v>0.1303</v>
      </c>
      <c r="L96" s="49"/>
      <c r="M96" s="49"/>
      <c r="N96" s="47">
        <v>1.72966983945298E-2</v>
      </c>
      <c r="O96" s="48">
        <v>0.77313999999999994</v>
      </c>
      <c r="P96" s="48">
        <v>3.3519104956802579</v>
      </c>
      <c r="Q96" s="48">
        <v>0</v>
      </c>
    </row>
    <row r="97" spans="1:17" x14ac:dyDescent="0.25">
      <c r="A97" s="5">
        <v>11</v>
      </c>
      <c r="B97" s="5">
        <v>6</v>
      </c>
      <c r="C97" s="6">
        <v>2015</v>
      </c>
      <c r="D97" s="24" t="s">
        <v>29</v>
      </c>
      <c r="E97" s="10">
        <v>0.13853799999999999</v>
      </c>
      <c r="F97" s="41"/>
      <c r="G97" s="47">
        <v>0.21702846097510062</v>
      </c>
      <c r="H97" s="49" t="s">
        <v>28</v>
      </c>
      <c r="I97" s="47">
        <v>0.50030000000000008</v>
      </c>
      <c r="J97" s="47">
        <v>0.16009999999999999</v>
      </c>
      <c r="K97" s="47">
        <v>0.13289999999999999</v>
      </c>
      <c r="L97" s="49"/>
      <c r="M97" s="49"/>
      <c r="N97" s="47">
        <v>1.68713196053581E-2</v>
      </c>
      <c r="O97" s="48">
        <v>0.77417000000000002</v>
      </c>
      <c r="P97" s="48">
        <v>3.3758693837061036</v>
      </c>
      <c r="Q97" s="48">
        <v>0</v>
      </c>
    </row>
    <row r="98" spans="1:17" x14ac:dyDescent="0.25">
      <c r="A98" s="5">
        <v>11</v>
      </c>
      <c r="B98" s="5">
        <v>7</v>
      </c>
      <c r="C98" s="6">
        <v>2016</v>
      </c>
      <c r="D98" s="24" t="s">
        <v>29</v>
      </c>
      <c r="E98" s="10">
        <v>0.13853799999999999</v>
      </c>
      <c r="F98" s="41"/>
      <c r="G98" s="47">
        <v>0.2043712656198807</v>
      </c>
      <c r="H98" s="49" t="s">
        <v>28</v>
      </c>
      <c r="I98" s="47">
        <v>0.49590000000000001</v>
      </c>
      <c r="J98" s="47">
        <v>0.15870000000000001</v>
      </c>
      <c r="K98" s="47">
        <v>0.13550000000000001</v>
      </c>
      <c r="L98" s="49"/>
      <c r="M98" s="49"/>
      <c r="N98" s="47">
        <v>1.6406289488859901E-2</v>
      </c>
      <c r="O98" s="48">
        <v>0.77528000000000008</v>
      </c>
      <c r="P98" s="48">
        <v>3.398435137242048</v>
      </c>
      <c r="Q98" s="48">
        <v>0</v>
      </c>
    </row>
    <row r="99" spans="1:17" x14ac:dyDescent="0.25">
      <c r="A99" s="5">
        <v>11</v>
      </c>
      <c r="B99" s="5">
        <v>8</v>
      </c>
      <c r="C99" s="6">
        <v>2017</v>
      </c>
      <c r="D99" s="24" t="s">
        <v>29</v>
      </c>
      <c r="E99" s="10">
        <v>0.13853797316551208</v>
      </c>
      <c r="F99" s="41"/>
      <c r="G99" s="47">
        <v>0.21172754258492144</v>
      </c>
      <c r="H99" s="49" t="s">
        <v>28</v>
      </c>
      <c r="I99" s="47">
        <v>0.4914</v>
      </c>
      <c r="J99" s="47">
        <v>0.1573</v>
      </c>
      <c r="K99" s="47">
        <v>0.1381</v>
      </c>
      <c r="L99" s="49"/>
      <c r="M99" s="49"/>
      <c r="N99" s="47">
        <v>1.59974199816625E-2</v>
      </c>
      <c r="O99" s="48">
        <v>0.77647999999999995</v>
      </c>
      <c r="P99" s="48">
        <v>3.4143801890782286</v>
      </c>
      <c r="Q99" s="48">
        <v>0</v>
      </c>
    </row>
    <row r="100" spans="1:17" x14ac:dyDescent="0.25">
      <c r="A100" s="5">
        <v>11</v>
      </c>
      <c r="B100" s="5">
        <v>9</v>
      </c>
      <c r="C100" s="6">
        <v>2018</v>
      </c>
      <c r="D100" s="24" t="s">
        <v>29</v>
      </c>
      <c r="E100" s="10">
        <v>0.16965262591838837</v>
      </c>
      <c r="F100" s="41"/>
      <c r="G100" s="47">
        <v>0.21633221993909849</v>
      </c>
      <c r="H100" s="49" t="s">
        <v>28</v>
      </c>
      <c r="I100" s="47">
        <v>0.4914</v>
      </c>
      <c r="J100" s="47">
        <v>0.1573</v>
      </c>
      <c r="K100" s="47">
        <v>0.1381</v>
      </c>
      <c r="L100" s="49"/>
      <c r="M100" s="49"/>
      <c r="N100" s="47">
        <v>1.55786869505917E-2</v>
      </c>
      <c r="O100" s="48">
        <v>0.77776999999999996</v>
      </c>
      <c r="P100" s="48">
        <v>3.4276754654338966</v>
      </c>
      <c r="Q100" s="48">
        <v>0</v>
      </c>
    </row>
    <row r="101" spans="1:17" x14ac:dyDescent="0.25">
      <c r="A101" s="5">
        <v>12</v>
      </c>
      <c r="B101" s="5">
        <v>1</v>
      </c>
      <c r="C101" s="6">
        <v>2010</v>
      </c>
      <c r="D101" s="13" t="s">
        <v>30</v>
      </c>
      <c r="E101" s="8">
        <v>2.5893599999999999E-2</v>
      </c>
      <c r="F101" s="41">
        <v>0.33485557556152346</v>
      </c>
      <c r="G101" s="47">
        <v>0.33072295221418857</v>
      </c>
      <c r="H101" s="49" t="s">
        <v>28</v>
      </c>
      <c r="I101" s="47">
        <v>0.4758</v>
      </c>
      <c r="J101" s="47">
        <v>0.1807</v>
      </c>
      <c r="K101" s="47">
        <v>0.1817</v>
      </c>
      <c r="L101" s="47">
        <v>0.32400000000000001</v>
      </c>
      <c r="M101" s="47">
        <v>0.42599999999999999</v>
      </c>
      <c r="N101" s="47">
        <v>1.98480507963281E-2</v>
      </c>
      <c r="O101" s="48">
        <v>0.43018999999999996</v>
      </c>
      <c r="P101" s="48">
        <v>3.5097192286254635</v>
      </c>
      <c r="Q101" s="48">
        <v>0.65257209777832004</v>
      </c>
    </row>
    <row r="102" spans="1:17" x14ac:dyDescent="0.25">
      <c r="A102" s="5">
        <v>12</v>
      </c>
      <c r="B102" s="5">
        <v>2</v>
      </c>
      <c r="C102" s="6">
        <v>2011</v>
      </c>
      <c r="D102" s="13" t="s">
        <v>30</v>
      </c>
      <c r="E102" s="8">
        <v>2.5999999999999999E-2</v>
      </c>
      <c r="F102" s="41">
        <v>0.34363086700439455</v>
      </c>
      <c r="G102" s="47">
        <v>0.31154923289938224</v>
      </c>
      <c r="H102" s="49" t="s">
        <v>28</v>
      </c>
      <c r="I102" s="47">
        <v>0.47939999999999999</v>
      </c>
      <c r="J102" s="47">
        <v>0.1855</v>
      </c>
      <c r="K102" s="47">
        <v>0.17549999999999999</v>
      </c>
      <c r="L102" s="47">
        <v>0.30299999999999999</v>
      </c>
      <c r="M102" s="47">
        <v>0.41700000000000004</v>
      </c>
      <c r="N102" s="47">
        <v>2.1137755961571202E-2</v>
      </c>
      <c r="O102" s="48">
        <v>0.43</v>
      </c>
      <c r="P102" s="48">
        <v>3.5081762818328865</v>
      </c>
      <c r="Q102" s="48">
        <v>0.73511032104492202</v>
      </c>
    </row>
    <row r="103" spans="1:17" x14ac:dyDescent="0.25">
      <c r="A103" s="5">
        <v>12</v>
      </c>
      <c r="B103" s="5">
        <v>3</v>
      </c>
      <c r="C103" s="6">
        <v>2012</v>
      </c>
      <c r="D103" s="13" t="s">
        <v>30</v>
      </c>
      <c r="E103" s="19">
        <v>2.5999999999999999E-2</v>
      </c>
      <c r="F103" s="41">
        <v>0.34546325683593748</v>
      </c>
      <c r="G103" s="47">
        <v>0.27388449729503972</v>
      </c>
      <c r="H103" s="49" t="s">
        <v>28</v>
      </c>
      <c r="I103" s="47">
        <v>0.4879</v>
      </c>
      <c r="J103" s="47">
        <v>0.18790000000000001</v>
      </c>
      <c r="K103" s="47">
        <v>0.1676</v>
      </c>
      <c r="L103" s="47">
        <v>0.33600000000000002</v>
      </c>
      <c r="M103" s="47">
        <v>0.29399999999999998</v>
      </c>
      <c r="N103" s="47">
        <v>2.2147409951728897E-2</v>
      </c>
      <c r="O103" s="48">
        <v>0.42945999999999995</v>
      </c>
      <c r="P103" s="48">
        <v>3.5079896383446854</v>
      </c>
      <c r="Q103" s="48">
        <v>0.74484260559082005</v>
      </c>
    </row>
    <row r="104" spans="1:17" x14ac:dyDescent="0.25">
      <c r="A104" s="5">
        <v>12</v>
      </c>
      <c r="B104" s="5">
        <v>4</v>
      </c>
      <c r="C104" s="6">
        <v>2013</v>
      </c>
      <c r="D104" s="13" t="s">
        <v>30</v>
      </c>
      <c r="E104" s="10">
        <v>2.4E-2</v>
      </c>
      <c r="F104" s="41">
        <v>0.34813449859619139</v>
      </c>
      <c r="G104" s="47">
        <v>0.26222439495804345</v>
      </c>
      <c r="H104" s="49" t="s">
        <v>28</v>
      </c>
      <c r="I104" s="47">
        <v>0.48820000000000002</v>
      </c>
      <c r="J104" s="47">
        <v>0.19570000000000001</v>
      </c>
      <c r="K104" s="47">
        <v>0.16789999999999999</v>
      </c>
      <c r="L104" s="47">
        <v>0.33600000000000002</v>
      </c>
      <c r="M104" s="47">
        <v>0.24199999999999999</v>
      </c>
      <c r="N104" s="47">
        <v>2.2679542599555302E-2</v>
      </c>
      <c r="O104" s="48">
        <v>0.42893000000000003</v>
      </c>
      <c r="P104" s="48">
        <v>3.5073671355790106</v>
      </c>
      <c r="Q104" s="48">
        <v>0.75819503784179698</v>
      </c>
    </row>
    <row r="105" spans="1:17" x14ac:dyDescent="0.25">
      <c r="A105" s="5">
        <v>12</v>
      </c>
      <c r="B105" s="5">
        <v>5</v>
      </c>
      <c r="C105" s="6">
        <v>2014</v>
      </c>
      <c r="D105" s="13" t="s">
        <v>30</v>
      </c>
      <c r="E105" s="10">
        <v>2.4233000000000001E-2</v>
      </c>
      <c r="F105" s="41">
        <v>0.35025573730468751</v>
      </c>
      <c r="G105" s="47">
        <v>0.25606680539291787</v>
      </c>
      <c r="H105" s="49" t="s">
        <v>28</v>
      </c>
      <c r="I105" s="47">
        <v>0.4975</v>
      </c>
      <c r="J105" s="47">
        <v>0.2079</v>
      </c>
      <c r="K105" s="47">
        <v>0.16520000000000001</v>
      </c>
      <c r="L105" s="47">
        <v>0.34600000000000003</v>
      </c>
      <c r="M105" s="47">
        <v>0.24</v>
      </c>
      <c r="N105" s="47">
        <v>2.2592513587042503E-2</v>
      </c>
      <c r="O105" s="48">
        <v>0.42838999999999999</v>
      </c>
      <c r="P105" s="48">
        <v>3.5099632105967649</v>
      </c>
      <c r="Q105" s="48">
        <v>0.75667808532714798</v>
      </c>
    </row>
    <row r="106" spans="1:17" x14ac:dyDescent="0.25">
      <c r="A106" s="5">
        <v>12</v>
      </c>
      <c r="B106" s="5">
        <v>6</v>
      </c>
      <c r="C106" s="6">
        <v>2015</v>
      </c>
      <c r="D106" s="13" t="s">
        <v>30</v>
      </c>
      <c r="E106" s="12">
        <v>1.35669E-2</v>
      </c>
      <c r="F106" s="41">
        <v>0.34697978973388671</v>
      </c>
      <c r="G106" s="47">
        <v>0.26316393760304962</v>
      </c>
      <c r="H106" s="49" t="s">
        <v>28</v>
      </c>
      <c r="I106" s="47">
        <v>0.49990000000000001</v>
      </c>
      <c r="J106" s="47">
        <v>0.2092</v>
      </c>
      <c r="K106" s="47">
        <v>0.1648</v>
      </c>
      <c r="L106" s="47">
        <v>0.32899999999999996</v>
      </c>
      <c r="M106" s="47">
        <v>0.28100000000000003</v>
      </c>
      <c r="N106" s="47">
        <v>2.2070253388605798E-2</v>
      </c>
      <c r="O106" s="48">
        <v>0.42784999999999995</v>
      </c>
      <c r="P106" s="48">
        <v>3.5194317777425308</v>
      </c>
      <c r="Q106" s="48">
        <v>0.75743656158447248</v>
      </c>
    </row>
    <row r="107" spans="1:17" x14ac:dyDescent="0.25">
      <c r="A107" s="5">
        <v>12</v>
      </c>
      <c r="B107" s="5">
        <v>7</v>
      </c>
      <c r="C107" s="6">
        <v>2016</v>
      </c>
      <c r="D107" s="13" t="s">
        <v>30</v>
      </c>
      <c r="E107" s="10">
        <v>1.35669E-2</v>
      </c>
      <c r="F107" s="41">
        <v>0.34116569519042966</v>
      </c>
      <c r="G107" s="47">
        <v>0.34134862625263934</v>
      </c>
      <c r="H107" s="49" t="s">
        <v>28</v>
      </c>
      <c r="I107" s="47">
        <v>0.49769999999999998</v>
      </c>
      <c r="J107" s="47">
        <v>0.2099</v>
      </c>
      <c r="K107" s="47">
        <v>0.16650000000000001</v>
      </c>
      <c r="L107" s="47">
        <v>0.31900000000000001</v>
      </c>
      <c r="M107" s="47">
        <v>0.33299999999999996</v>
      </c>
      <c r="N107" s="47">
        <v>2.14522226806526E-2</v>
      </c>
      <c r="O107" s="48">
        <v>0.42731999999999998</v>
      </c>
      <c r="P107" s="48">
        <v>3.5290737455371097</v>
      </c>
      <c r="Q107" s="48">
        <v>0.78573402404785198</v>
      </c>
    </row>
    <row r="108" spans="1:17" x14ac:dyDescent="0.25">
      <c r="A108" s="5">
        <v>12</v>
      </c>
      <c r="B108" s="5">
        <v>8</v>
      </c>
      <c r="C108" s="6">
        <v>2017</v>
      </c>
      <c r="D108" s="13" t="s">
        <v>30</v>
      </c>
      <c r="E108" s="10">
        <v>1.3566946610808372E-2</v>
      </c>
      <c r="F108" s="41">
        <v>0.32975193023681643</v>
      </c>
      <c r="G108" s="47">
        <v>0.27069824673725429</v>
      </c>
      <c r="H108" s="49" t="s">
        <v>28</v>
      </c>
      <c r="I108" s="47">
        <v>0.4899</v>
      </c>
      <c r="J108" s="47">
        <v>0.20180000000000001</v>
      </c>
      <c r="K108" s="47">
        <v>0.1701</v>
      </c>
      <c r="L108" s="47">
        <v>0.39</v>
      </c>
      <c r="M108" s="47">
        <v>0.32400000000000001</v>
      </c>
      <c r="N108" s="47">
        <v>2.0908326678998498E-2</v>
      </c>
      <c r="O108" s="48">
        <v>0.42704999999999999</v>
      </c>
      <c r="P108" s="48">
        <v>3.5381852098798219</v>
      </c>
      <c r="Q108" s="48">
        <v>0.79361198425293</v>
      </c>
    </row>
    <row r="109" spans="1:17" x14ac:dyDescent="0.25">
      <c r="A109" s="5">
        <v>12</v>
      </c>
      <c r="B109" s="5">
        <v>9</v>
      </c>
      <c r="C109" s="6">
        <v>2018</v>
      </c>
      <c r="D109" s="13" t="s">
        <v>30</v>
      </c>
      <c r="E109" s="10">
        <v>1.9603695720434189E-2</v>
      </c>
      <c r="F109" s="41">
        <v>0.31570831298828123</v>
      </c>
      <c r="G109" s="47">
        <v>0.2429527907076422</v>
      </c>
      <c r="H109" s="49" t="s">
        <v>28</v>
      </c>
      <c r="I109" s="47">
        <v>0.49959999999999999</v>
      </c>
      <c r="J109" s="47">
        <v>0.20080000000000001</v>
      </c>
      <c r="K109" s="47">
        <v>0.16719999999999999</v>
      </c>
      <c r="L109" s="47">
        <v>0.34799999999999998</v>
      </c>
      <c r="M109" s="47">
        <v>0.376</v>
      </c>
      <c r="N109" s="47">
        <v>2.0332723991850998E-2</v>
      </c>
      <c r="O109" s="48">
        <v>0.42704000000000003</v>
      </c>
      <c r="P109" s="48">
        <v>3.5525026980449477</v>
      </c>
      <c r="Q109" s="48">
        <v>0.79986839294433598</v>
      </c>
    </row>
    <row r="110" spans="1:17" x14ac:dyDescent="0.25">
      <c r="A110" s="5">
        <v>13</v>
      </c>
      <c r="B110" s="5">
        <v>1</v>
      </c>
      <c r="C110" s="6">
        <v>2010</v>
      </c>
      <c r="D110" s="17" t="s">
        <v>31</v>
      </c>
      <c r="E110" s="8">
        <v>0.58239980000000002</v>
      </c>
      <c r="F110" s="41">
        <v>0.35956951141357424</v>
      </c>
      <c r="G110" s="50"/>
      <c r="H110" s="46" t="s">
        <v>19</v>
      </c>
      <c r="I110" s="47">
        <v>0.44009999999999999</v>
      </c>
      <c r="J110" s="47">
        <v>0.14760000000000001</v>
      </c>
      <c r="K110" s="47">
        <v>0.1779</v>
      </c>
      <c r="L110" s="47">
        <v>0.28100000000000003</v>
      </c>
      <c r="M110" s="47">
        <v>0.38799999999999996</v>
      </c>
      <c r="N110" s="47">
        <v>2.7837569266514303E-2</v>
      </c>
      <c r="O110" s="48">
        <v>0.17318999999999998</v>
      </c>
      <c r="P110" s="48">
        <v>2.6422533726080575</v>
      </c>
      <c r="Q110" s="48">
        <v>0.33750228881835903</v>
      </c>
    </row>
    <row r="111" spans="1:17" x14ac:dyDescent="0.25">
      <c r="A111" s="5">
        <v>13</v>
      </c>
      <c r="B111" s="5">
        <v>2</v>
      </c>
      <c r="C111" s="6">
        <v>2011</v>
      </c>
      <c r="D111" s="17" t="s">
        <v>31</v>
      </c>
      <c r="E111" s="8">
        <v>0.57999999999999996</v>
      </c>
      <c r="F111" s="41">
        <v>0.35950000762939455</v>
      </c>
      <c r="G111" s="50"/>
      <c r="H111" s="46" t="s">
        <v>19</v>
      </c>
      <c r="I111" s="47">
        <v>0.44140000000000001</v>
      </c>
      <c r="J111" s="47">
        <v>0.1447</v>
      </c>
      <c r="K111" s="47">
        <v>0.1764</v>
      </c>
      <c r="L111" s="47">
        <v>0.27</v>
      </c>
      <c r="M111" s="47">
        <v>0.37</v>
      </c>
      <c r="N111" s="47">
        <v>2.8126137369490302E-2</v>
      </c>
      <c r="O111" s="48">
        <v>0.17735000000000001</v>
      </c>
      <c r="P111" s="48">
        <v>2.6759240297545905</v>
      </c>
      <c r="Q111" s="48">
        <v>0.35359668731689503</v>
      </c>
    </row>
    <row r="112" spans="1:17" x14ac:dyDescent="0.25">
      <c r="A112" s="5">
        <v>13</v>
      </c>
      <c r="B112" s="5">
        <v>3</v>
      </c>
      <c r="C112" s="6">
        <v>2012</v>
      </c>
      <c r="D112" s="17" t="s">
        <v>31</v>
      </c>
      <c r="E112" s="9">
        <v>0.57999999999999996</v>
      </c>
      <c r="F112" s="41">
        <v>0.35424263000488282</v>
      </c>
      <c r="G112" s="50"/>
      <c r="H112" s="46" t="s">
        <v>19</v>
      </c>
      <c r="I112" s="47">
        <v>0.44359999999999999</v>
      </c>
      <c r="J112" s="47">
        <v>0.14319999999999999</v>
      </c>
      <c r="K112" s="47">
        <v>0.17460000000000001</v>
      </c>
      <c r="L112" s="47">
        <v>0.32200000000000001</v>
      </c>
      <c r="M112" s="47">
        <v>0.40299999999999997</v>
      </c>
      <c r="N112" s="47">
        <v>2.8296279676218797E-2</v>
      </c>
      <c r="O112" s="48">
        <v>0.18160000000000001</v>
      </c>
      <c r="P112" s="48">
        <v>2.6997678129451597</v>
      </c>
      <c r="Q112" s="48">
        <v>0.37214740753173797</v>
      </c>
    </row>
    <row r="113" spans="1:17" x14ac:dyDescent="0.25">
      <c r="A113" s="5">
        <v>13</v>
      </c>
      <c r="B113" s="5">
        <v>4</v>
      </c>
      <c r="C113" s="6">
        <v>2013</v>
      </c>
      <c r="D113" s="17" t="s">
        <v>31</v>
      </c>
      <c r="E113" s="10">
        <v>0.56399999999999995</v>
      </c>
      <c r="F113" s="41">
        <v>0.35271137237548827</v>
      </c>
      <c r="G113" s="50"/>
      <c r="H113" s="46" t="s">
        <v>19</v>
      </c>
      <c r="I113" s="47">
        <v>0.44500000000000001</v>
      </c>
      <c r="J113" s="47">
        <v>0.14050000000000001</v>
      </c>
      <c r="K113" s="47">
        <v>0.1731</v>
      </c>
      <c r="L113" s="47">
        <v>0.379</v>
      </c>
      <c r="M113" s="47">
        <v>0.32200000000000001</v>
      </c>
      <c r="N113" s="47">
        <v>2.82701488481635E-2</v>
      </c>
      <c r="O113" s="48">
        <v>0.18575</v>
      </c>
      <c r="P113" s="48">
        <v>2.7316471386278223</v>
      </c>
      <c r="Q113" s="48">
        <v>0.36287204742431656</v>
      </c>
    </row>
    <row r="114" spans="1:17" x14ac:dyDescent="0.25">
      <c r="A114" s="5">
        <v>13</v>
      </c>
      <c r="B114" s="5">
        <v>5</v>
      </c>
      <c r="C114" s="6">
        <v>2014</v>
      </c>
      <c r="D114" s="17" t="s">
        <v>31</v>
      </c>
      <c r="E114" s="10">
        <v>0.564137</v>
      </c>
      <c r="F114" s="41">
        <v>0.34911128997802732</v>
      </c>
      <c r="G114" s="50"/>
      <c r="H114" s="46" t="s">
        <v>19</v>
      </c>
      <c r="I114" s="47">
        <v>0.44679999999999997</v>
      </c>
      <c r="J114" s="47">
        <v>0.13850000000000001</v>
      </c>
      <c r="K114" s="47">
        <v>0.1714</v>
      </c>
      <c r="L114" s="47">
        <v>0.40899999999999997</v>
      </c>
      <c r="M114" s="47">
        <v>0.36499999999999999</v>
      </c>
      <c r="N114" s="47">
        <v>2.79992468847357E-2</v>
      </c>
      <c r="O114" s="48">
        <v>0.18998000000000001</v>
      </c>
      <c r="P114" s="48">
        <v>2.7624031404061573</v>
      </c>
      <c r="Q114" s="48">
        <v>0.36750972747802729</v>
      </c>
    </row>
    <row r="115" spans="1:17" x14ac:dyDescent="0.25">
      <c r="A115" s="5">
        <v>13</v>
      </c>
      <c r="B115" s="5">
        <v>6</v>
      </c>
      <c r="C115" s="6">
        <v>2015</v>
      </c>
      <c r="D115" s="17" t="s">
        <v>31</v>
      </c>
      <c r="E115" s="12">
        <v>0.564137</v>
      </c>
      <c r="F115" s="41">
        <v>0.34749935150146483</v>
      </c>
      <c r="G115" s="50"/>
      <c r="H115" s="46" t="s">
        <v>19</v>
      </c>
      <c r="I115" s="47">
        <v>0.4486</v>
      </c>
      <c r="J115" s="47">
        <v>0.1363</v>
      </c>
      <c r="K115" s="47">
        <v>0.16969999999999999</v>
      </c>
      <c r="L115" s="47">
        <v>0.38600000000000001</v>
      </c>
      <c r="M115" s="47">
        <v>0.26700000000000002</v>
      </c>
      <c r="N115" s="47">
        <v>2.7561116155628798E-2</v>
      </c>
      <c r="O115" s="48">
        <v>0.19428000000000001</v>
      </c>
      <c r="P115" s="48">
        <v>2.7936826172799631</v>
      </c>
      <c r="Q115" s="48">
        <v>0.348671396485425</v>
      </c>
    </row>
    <row r="116" spans="1:17" x14ac:dyDescent="0.25">
      <c r="A116" s="5">
        <v>13</v>
      </c>
      <c r="B116" s="5">
        <v>7</v>
      </c>
      <c r="C116" s="6">
        <v>2016</v>
      </c>
      <c r="D116" s="17" t="s">
        <v>31</v>
      </c>
      <c r="E116" s="10">
        <v>0.564137</v>
      </c>
      <c r="F116" s="41">
        <v>0.34824413299560547</v>
      </c>
      <c r="G116" s="50"/>
      <c r="H116" s="46" t="s">
        <v>19</v>
      </c>
      <c r="I116" s="47">
        <v>0.4486</v>
      </c>
      <c r="J116" s="47">
        <v>0.1363</v>
      </c>
      <c r="K116" s="47">
        <v>0.16969999999999999</v>
      </c>
      <c r="L116" s="47">
        <v>0.4</v>
      </c>
      <c r="M116" s="47">
        <v>0.25700000000000001</v>
      </c>
      <c r="N116" s="47">
        <v>2.7080726533835899E-2</v>
      </c>
      <c r="O116" s="48">
        <v>0.19866</v>
      </c>
      <c r="P116" s="48">
        <v>2.8210726535878967</v>
      </c>
      <c r="Q116" s="48">
        <v>0.35809056198172612</v>
      </c>
    </row>
    <row r="117" spans="1:17" x14ac:dyDescent="0.25">
      <c r="A117" s="5">
        <v>13</v>
      </c>
      <c r="B117" s="5">
        <v>8</v>
      </c>
      <c r="C117" s="6">
        <v>2017</v>
      </c>
      <c r="D117" s="17" t="s">
        <v>31</v>
      </c>
      <c r="E117" s="10">
        <v>0.5641370415687561</v>
      </c>
      <c r="F117" s="41">
        <v>0.34531898498535157</v>
      </c>
      <c r="G117" s="50"/>
      <c r="H117" s="46" t="s">
        <v>19</v>
      </c>
      <c r="I117" s="47">
        <v>0.4486</v>
      </c>
      <c r="J117" s="47">
        <v>0.1363</v>
      </c>
      <c r="K117" s="47">
        <v>0.16969999999999999</v>
      </c>
      <c r="L117" s="47">
        <v>0.33299999999999996</v>
      </c>
      <c r="M117" s="47">
        <v>0.214</v>
      </c>
      <c r="N117" s="47">
        <v>2.6634144815302897E-2</v>
      </c>
      <c r="O117" s="48">
        <v>0.20309999999999997</v>
      </c>
      <c r="P117" s="48">
        <v>2.8489057133909768</v>
      </c>
      <c r="Q117" s="48">
        <v>0.35338097923357553</v>
      </c>
    </row>
    <row r="118" spans="1:17" x14ac:dyDescent="0.25">
      <c r="A118" s="5">
        <v>13</v>
      </c>
      <c r="B118" s="5">
        <v>9</v>
      </c>
      <c r="C118" s="6">
        <v>2018</v>
      </c>
      <c r="D118" s="17" t="s">
        <v>31</v>
      </c>
      <c r="E118" s="10">
        <v>0.48997890949249268</v>
      </c>
      <c r="F118" s="41">
        <v>0.34053924560546878</v>
      </c>
      <c r="G118" s="50"/>
      <c r="H118" s="46" t="s">
        <v>19</v>
      </c>
      <c r="I118" s="47">
        <v>0.4486</v>
      </c>
      <c r="J118" s="47">
        <v>0.1363</v>
      </c>
      <c r="K118" s="47">
        <v>0.16969999999999999</v>
      </c>
      <c r="L118" s="47">
        <v>0.36700000000000005</v>
      </c>
      <c r="M118" s="47">
        <v>0.26700000000000002</v>
      </c>
      <c r="N118" s="47">
        <v>2.6199691710578697E-2</v>
      </c>
      <c r="O118" s="48">
        <v>0.20763000000000001</v>
      </c>
      <c r="P118" s="48">
        <v>2.8658307807313537</v>
      </c>
      <c r="Q118" s="48">
        <v>0.35573577060765083</v>
      </c>
    </row>
    <row r="119" spans="1:17" x14ac:dyDescent="0.25">
      <c r="A119" s="25">
        <v>14</v>
      </c>
      <c r="B119" s="5">
        <v>1</v>
      </c>
      <c r="C119" s="6">
        <v>2010</v>
      </c>
      <c r="D119" s="26" t="s">
        <v>32</v>
      </c>
      <c r="E119" s="8">
        <v>0.16089290000000001</v>
      </c>
      <c r="F119" s="41">
        <v>0.52029056549072261</v>
      </c>
      <c r="G119" s="47">
        <v>8.2099968320411637E-2</v>
      </c>
      <c r="H119" s="49" t="s">
        <v>33</v>
      </c>
      <c r="I119" s="47">
        <v>0.47170000000000001</v>
      </c>
      <c r="J119" s="47">
        <v>0.14449999999999999</v>
      </c>
      <c r="K119" s="47">
        <v>0.14219999999999999</v>
      </c>
      <c r="L119" s="47">
        <v>0.2</v>
      </c>
      <c r="M119" s="47">
        <v>0.249</v>
      </c>
      <c r="N119" s="47">
        <v>3.4591467715266305E-2</v>
      </c>
      <c r="O119" s="48">
        <v>0.85533000000000003</v>
      </c>
      <c r="P119" s="48">
        <v>3.8116752654357815</v>
      </c>
      <c r="Q119" s="48">
        <v>0</v>
      </c>
    </row>
    <row r="120" spans="1:17" x14ac:dyDescent="0.25">
      <c r="A120" s="25">
        <v>14</v>
      </c>
      <c r="B120" s="5">
        <v>2</v>
      </c>
      <c r="C120" s="6">
        <v>2011</v>
      </c>
      <c r="D120" s="26" t="s">
        <v>32</v>
      </c>
      <c r="E120" s="8">
        <v>0.161</v>
      </c>
      <c r="F120" s="41">
        <v>0.51299270629882809</v>
      </c>
      <c r="G120" s="47">
        <v>9.5276716117932148E-2</v>
      </c>
      <c r="H120" s="49" t="s">
        <v>33</v>
      </c>
      <c r="I120" s="47">
        <v>0.46550000000000002</v>
      </c>
      <c r="J120" s="47">
        <v>0.13930000000000001</v>
      </c>
      <c r="K120" s="47">
        <v>0.14380000000000001</v>
      </c>
      <c r="L120" s="47">
        <v>0.19899999999999998</v>
      </c>
      <c r="M120" s="47">
        <v>0.218</v>
      </c>
      <c r="N120" s="47">
        <v>3.6563222343615399E-2</v>
      </c>
      <c r="O120" s="48">
        <v>0.86092000000000002</v>
      </c>
      <c r="P120" s="48">
        <v>3.8260251441907265</v>
      </c>
      <c r="Q120" s="48">
        <v>0</v>
      </c>
    </row>
    <row r="121" spans="1:17" x14ac:dyDescent="0.25">
      <c r="A121" s="25">
        <v>14</v>
      </c>
      <c r="B121" s="5">
        <v>3</v>
      </c>
      <c r="C121" s="6">
        <v>2012</v>
      </c>
      <c r="D121" s="26" t="s">
        <v>32</v>
      </c>
      <c r="E121" s="19">
        <v>0.161</v>
      </c>
      <c r="F121" s="41">
        <v>0.51704135894775394</v>
      </c>
      <c r="G121" s="47">
        <v>0.11302095673966898</v>
      </c>
      <c r="H121" s="49" t="s">
        <v>33</v>
      </c>
      <c r="I121" s="47">
        <v>0.4592</v>
      </c>
      <c r="J121" s="47">
        <v>0.13420000000000001</v>
      </c>
      <c r="K121" s="47">
        <v>0.14549999999999999</v>
      </c>
      <c r="L121" s="47">
        <v>0.29899999999999999</v>
      </c>
      <c r="M121" s="47">
        <v>0.19</v>
      </c>
      <c r="N121" s="47">
        <v>3.7885837951410498E-2</v>
      </c>
      <c r="O121" s="48">
        <v>0.86634</v>
      </c>
      <c r="P121" s="48">
        <v>3.8327149417200932</v>
      </c>
      <c r="Q121" s="48">
        <v>0</v>
      </c>
    </row>
    <row r="122" spans="1:17" x14ac:dyDescent="0.25">
      <c r="A122" s="25">
        <v>14</v>
      </c>
      <c r="B122" s="5">
        <v>4</v>
      </c>
      <c r="C122" s="6">
        <v>2013</v>
      </c>
      <c r="D122" s="26" t="s">
        <v>32</v>
      </c>
      <c r="E122" s="16">
        <f>AVERAGE(E123,E121)</f>
        <v>0.1155745</v>
      </c>
      <c r="F122" s="41">
        <v>0.51488357543945318</v>
      </c>
      <c r="G122" s="47">
        <v>0.15012821298492982</v>
      </c>
      <c r="H122" s="49" t="s">
        <v>33</v>
      </c>
      <c r="I122" s="47">
        <v>0.4531</v>
      </c>
      <c r="J122" s="47">
        <v>0.12920000000000001</v>
      </c>
      <c r="K122" s="47">
        <v>0.14710000000000001</v>
      </c>
      <c r="L122" s="47">
        <v>0.32200000000000001</v>
      </c>
      <c r="M122" s="47">
        <v>0.218</v>
      </c>
      <c r="N122" s="47">
        <v>3.7794114241791597E-2</v>
      </c>
      <c r="O122" s="48">
        <v>0.87156000000000011</v>
      </c>
      <c r="P122" s="48">
        <v>3.8412504162219139</v>
      </c>
      <c r="Q122" s="48">
        <v>0</v>
      </c>
    </row>
    <row r="123" spans="1:17" x14ac:dyDescent="0.25">
      <c r="A123" s="25">
        <v>14</v>
      </c>
      <c r="B123" s="5">
        <v>5</v>
      </c>
      <c r="C123" s="6">
        <v>2014</v>
      </c>
      <c r="D123" s="26" t="s">
        <v>32</v>
      </c>
      <c r="E123" s="10">
        <v>7.0149000000000003E-2</v>
      </c>
      <c r="F123" s="41">
        <v>0.51023014068603512</v>
      </c>
      <c r="G123" s="47">
        <v>0.14541725124911681</v>
      </c>
      <c r="H123" s="49" t="s">
        <v>33</v>
      </c>
      <c r="I123" s="47">
        <v>0.44729999999999998</v>
      </c>
      <c r="J123" s="47">
        <v>0.12470000000000001</v>
      </c>
      <c r="K123" s="47">
        <v>0.14860000000000001</v>
      </c>
      <c r="L123" s="47">
        <v>0.28800000000000003</v>
      </c>
      <c r="M123" s="47">
        <v>0.27399999999999997</v>
      </c>
      <c r="N123" s="47">
        <v>3.6066230535113403E-2</v>
      </c>
      <c r="O123" s="48">
        <v>0.87651000000000001</v>
      </c>
      <c r="P123" s="48">
        <v>3.8450115109003877</v>
      </c>
      <c r="Q123" s="48">
        <v>0</v>
      </c>
    </row>
    <row r="124" spans="1:17" x14ac:dyDescent="0.25">
      <c r="A124" s="25">
        <v>14</v>
      </c>
      <c r="B124" s="5">
        <v>6</v>
      </c>
      <c r="C124" s="6">
        <v>2015</v>
      </c>
      <c r="D124" s="26" t="s">
        <v>32</v>
      </c>
      <c r="E124" s="27">
        <v>7.0148699999999994E-2</v>
      </c>
      <c r="F124" s="41">
        <v>0.51035278320312505</v>
      </c>
      <c r="G124" s="47">
        <v>0.14516147228623821</v>
      </c>
      <c r="H124" s="49" t="s">
        <v>33</v>
      </c>
      <c r="I124" s="47">
        <v>0.44069999999999998</v>
      </c>
      <c r="J124" s="47">
        <v>0.1191</v>
      </c>
      <c r="K124" s="47">
        <v>0.15040000000000001</v>
      </c>
      <c r="L124" s="47">
        <v>0.26200000000000001</v>
      </c>
      <c r="M124" s="47">
        <v>0.22399999999999998</v>
      </c>
      <c r="N124" s="47">
        <v>3.3352510731259402E-2</v>
      </c>
      <c r="O124" s="48">
        <v>0.88117999999999996</v>
      </c>
      <c r="P124" s="48">
        <v>3.8480120702606087</v>
      </c>
      <c r="Q124" s="48">
        <v>0</v>
      </c>
    </row>
    <row r="125" spans="1:17" x14ac:dyDescent="0.25">
      <c r="A125" s="25">
        <v>14</v>
      </c>
      <c r="B125" s="5">
        <v>7</v>
      </c>
      <c r="C125" s="6">
        <v>2016</v>
      </c>
      <c r="D125" s="26" t="s">
        <v>32</v>
      </c>
      <c r="E125" s="10">
        <v>7.0148699999999994E-2</v>
      </c>
      <c r="F125" s="41">
        <v>0.51171489715576168</v>
      </c>
      <c r="G125" s="47">
        <v>0.13828989550755755</v>
      </c>
      <c r="H125" s="49" t="s">
        <v>33</v>
      </c>
      <c r="I125" s="47">
        <v>0.43459999999999999</v>
      </c>
      <c r="J125" s="47">
        <v>0.1142</v>
      </c>
      <c r="K125" s="47">
        <v>0.152</v>
      </c>
      <c r="L125" s="47">
        <v>0.25700000000000001</v>
      </c>
      <c r="M125" s="47">
        <v>0.20499999999999999</v>
      </c>
      <c r="N125" s="47">
        <v>3.04363801829034E-2</v>
      </c>
      <c r="O125" s="48">
        <v>0.88558999999999999</v>
      </c>
      <c r="P125" s="48">
        <v>3.8445595002771884</v>
      </c>
      <c r="Q125" s="48">
        <v>0</v>
      </c>
    </row>
    <row r="126" spans="1:17" x14ac:dyDescent="0.25">
      <c r="A126" s="25">
        <v>14</v>
      </c>
      <c r="B126" s="5">
        <v>8</v>
      </c>
      <c r="C126" s="6">
        <v>2017</v>
      </c>
      <c r="D126" s="26" t="s">
        <v>32</v>
      </c>
      <c r="E126" s="10">
        <v>7.0148691534996033E-2</v>
      </c>
      <c r="F126" s="41">
        <v>0.51114414215087889</v>
      </c>
      <c r="G126" s="47">
        <v>0.10290362208163711</v>
      </c>
      <c r="H126" s="49" t="s">
        <v>33</v>
      </c>
      <c r="I126" s="47">
        <v>0.42830000000000001</v>
      </c>
      <c r="J126" s="47">
        <v>0.109</v>
      </c>
      <c r="K126" s="47">
        <v>0.15359999999999999</v>
      </c>
      <c r="L126" s="47">
        <v>0.19500000000000001</v>
      </c>
      <c r="M126" s="47">
        <v>0.14800000000000002</v>
      </c>
      <c r="N126" s="47">
        <v>2.7958745943753402E-2</v>
      </c>
      <c r="O126" s="48">
        <v>0.88976</v>
      </c>
      <c r="P126" s="48">
        <v>3.8350598854929112</v>
      </c>
      <c r="Q126" s="48">
        <v>0</v>
      </c>
    </row>
    <row r="127" spans="1:17" x14ac:dyDescent="0.25">
      <c r="A127" s="25">
        <v>14</v>
      </c>
      <c r="B127" s="5">
        <v>9</v>
      </c>
      <c r="C127" s="6">
        <v>2018</v>
      </c>
      <c r="D127" s="26" t="s">
        <v>32</v>
      </c>
      <c r="E127" s="10">
        <v>6.6685579717159271E-2</v>
      </c>
      <c r="F127" s="41">
        <v>0.50099693298339842</v>
      </c>
      <c r="G127" s="47">
        <v>0.13082693069164922</v>
      </c>
      <c r="H127" s="49" t="s">
        <v>33</v>
      </c>
      <c r="I127" s="47">
        <v>0.42830000000000001</v>
      </c>
      <c r="J127" s="47">
        <v>0.1089</v>
      </c>
      <c r="K127" s="47">
        <v>0.15359999999999999</v>
      </c>
      <c r="L127" s="47">
        <v>0.20499999999999999</v>
      </c>
      <c r="M127" s="47">
        <v>0.19</v>
      </c>
      <c r="N127" s="47">
        <v>2.60348679566927E-2</v>
      </c>
      <c r="O127" s="48">
        <v>0.89370000000000005</v>
      </c>
      <c r="P127" s="48">
        <v>3.8276662071618843</v>
      </c>
      <c r="Q127" s="48">
        <v>0</v>
      </c>
    </row>
    <row r="128" spans="1:17" x14ac:dyDescent="0.25">
      <c r="A128" s="25">
        <v>15</v>
      </c>
      <c r="B128" s="5">
        <v>1</v>
      </c>
      <c r="C128" s="6">
        <v>2010</v>
      </c>
      <c r="D128" s="14" t="s">
        <v>34</v>
      </c>
      <c r="E128" s="8">
        <v>0.32360820000000001</v>
      </c>
      <c r="F128" s="41">
        <v>0.43324542999267579</v>
      </c>
      <c r="G128" s="47">
        <v>9.4910801423057925E-2</v>
      </c>
      <c r="H128" s="46" t="s">
        <v>19</v>
      </c>
      <c r="I128" s="47">
        <v>0.52929999999999999</v>
      </c>
      <c r="J128" s="47">
        <v>0.12759999999999999</v>
      </c>
      <c r="K128" s="47">
        <v>0.21129999999999999</v>
      </c>
      <c r="L128" s="47">
        <v>0.32899999999999996</v>
      </c>
      <c r="M128" s="47">
        <v>0.26300000000000001</v>
      </c>
      <c r="N128" s="47">
        <v>2.99568796782189E-2</v>
      </c>
      <c r="O128" s="48">
        <v>0.55662</v>
      </c>
      <c r="P128" s="48">
        <v>2.8457270163752191</v>
      </c>
      <c r="Q128" s="48">
        <v>0.48533618927002004</v>
      </c>
    </row>
    <row r="129" spans="1:17" x14ac:dyDescent="0.25">
      <c r="A129" s="25">
        <v>15</v>
      </c>
      <c r="B129" s="5">
        <v>2</v>
      </c>
      <c r="C129" s="6">
        <v>2011</v>
      </c>
      <c r="D129" s="14" t="s">
        <v>34</v>
      </c>
      <c r="E129" s="8">
        <v>0.32400000000000001</v>
      </c>
      <c r="F129" s="41">
        <v>0.47646778106689452</v>
      </c>
      <c r="G129" s="47">
        <v>0.1040755212135335</v>
      </c>
      <c r="H129" s="46" t="s">
        <v>19</v>
      </c>
      <c r="I129" s="47">
        <v>0.51380000000000003</v>
      </c>
      <c r="J129" s="47">
        <v>0.1346</v>
      </c>
      <c r="K129" s="47">
        <v>0.1958</v>
      </c>
      <c r="L129" s="47">
        <v>0.374</v>
      </c>
      <c r="M129" s="47">
        <v>0.28399999999999997</v>
      </c>
      <c r="N129" s="47">
        <v>3.0179634457591802E-2</v>
      </c>
      <c r="O129" s="48">
        <v>0.56384000000000001</v>
      </c>
      <c r="P129" s="48">
        <v>2.7962025681003873</v>
      </c>
      <c r="Q129" s="48">
        <v>0</v>
      </c>
    </row>
    <row r="130" spans="1:17" x14ac:dyDescent="0.25">
      <c r="A130" s="25">
        <v>15</v>
      </c>
      <c r="B130" s="5">
        <v>3</v>
      </c>
      <c r="C130" s="6">
        <v>2012</v>
      </c>
      <c r="D130" s="14" t="s">
        <v>34</v>
      </c>
      <c r="E130" s="9">
        <v>0.32400000000000001</v>
      </c>
      <c r="F130" s="41">
        <v>0.45969436645507811</v>
      </c>
      <c r="G130" s="47">
        <v>0.10079653889150597</v>
      </c>
      <c r="H130" s="46" t="s">
        <v>19</v>
      </c>
      <c r="I130" s="47">
        <v>0.49890000000000001</v>
      </c>
      <c r="J130" s="47">
        <v>0.14149999999999999</v>
      </c>
      <c r="K130" s="47">
        <v>0.18129999999999999</v>
      </c>
      <c r="L130" s="47">
        <v>0.308</v>
      </c>
      <c r="M130" s="47">
        <v>0.33200000000000002</v>
      </c>
      <c r="N130" s="47">
        <v>3.0311697116913502E-2</v>
      </c>
      <c r="O130" s="48">
        <v>0.57104999999999995</v>
      </c>
      <c r="P130" s="48">
        <v>2.805595918071067</v>
      </c>
      <c r="Q130" s="48">
        <v>0</v>
      </c>
    </row>
    <row r="131" spans="1:17" x14ac:dyDescent="0.25">
      <c r="A131" s="25">
        <v>15</v>
      </c>
      <c r="B131" s="5">
        <v>4</v>
      </c>
      <c r="C131" s="6">
        <v>2013</v>
      </c>
      <c r="D131" s="14" t="s">
        <v>34</v>
      </c>
      <c r="E131" s="10">
        <v>0.32400000000000001</v>
      </c>
      <c r="F131" s="41">
        <v>0.46631416320800784</v>
      </c>
      <c r="G131" s="47">
        <v>9.9810008558900473E-2</v>
      </c>
      <c r="H131" s="46" t="s">
        <v>19</v>
      </c>
      <c r="I131" s="47">
        <v>0.48280000000000001</v>
      </c>
      <c r="J131" s="47">
        <v>0.14860000000000001</v>
      </c>
      <c r="K131" s="47">
        <v>0.1648</v>
      </c>
      <c r="L131" s="47">
        <v>0.27500000000000002</v>
      </c>
      <c r="M131" s="47">
        <v>0.25600000000000001</v>
      </c>
      <c r="N131" s="47">
        <v>3.03420154965796E-2</v>
      </c>
      <c r="O131" s="48">
        <v>0.57820000000000005</v>
      </c>
      <c r="P131" s="48">
        <v>2.8051761159454771</v>
      </c>
      <c r="Q131" s="48">
        <v>0</v>
      </c>
    </row>
    <row r="132" spans="1:17" x14ac:dyDescent="0.25">
      <c r="A132" s="25">
        <v>15</v>
      </c>
      <c r="B132" s="5">
        <v>5</v>
      </c>
      <c r="C132" s="6">
        <v>2014</v>
      </c>
      <c r="D132" s="14" t="s">
        <v>34</v>
      </c>
      <c r="E132" s="10">
        <v>0.32360800000000001</v>
      </c>
      <c r="F132" s="41">
        <v>0.48898101806640626</v>
      </c>
      <c r="G132" s="47">
        <v>8.8311855558865962E-2</v>
      </c>
      <c r="H132" s="46" t="s">
        <v>19</v>
      </c>
      <c r="I132" s="47">
        <v>0.46729999999999999</v>
      </c>
      <c r="J132" s="47">
        <v>0.15559999999999999</v>
      </c>
      <c r="K132" s="47">
        <v>0.14929999999999999</v>
      </c>
      <c r="L132" s="47">
        <v>0.28399999999999997</v>
      </c>
      <c r="M132" s="47">
        <v>0.23600000000000002</v>
      </c>
      <c r="N132" s="47">
        <v>3.0259509182744303E-2</v>
      </c>
      <c r="O132" s="48">
        <v>0.58528000000000002</v>
      </c>
      <c r="P132" s="48">
        <v>2.7866658839318608</v>
      </c>
      <c r="Q132" s="48">
        <v>0</v>
      </c>
    </row>
    <row r="133" spans="1:17" x14ac:dyDescent="0.25">
      <c r="A133" s="25">
        <v>15</v>
      </c>
      <c r="B133" s="5">
        <v>6</v>
      </c>
      <c r="C133" s="6">
        <v>2015</v>
      </c>
      <c r="D133" s="14" t="s">
        <v>34</v>
      </c>
      <c r="E133" s="12">
        <v>0.32258140000000002</v>
      </c>
      <c r="F133" s="41">
        <v>0.49629932403564453</v>
      </c>
      <c r="G133" s="47"/>
      <c r="H133" s="46" t="s">
        <v>19</v>
      </c>
      <c r="I133" s="47">
        <v>0.45179999999999998</v>
      </c>
      <c r="J133" s="47">
        <v>0.16259999999999999</v>
      </c>
      <c r="K133" s="47">
        <v>0.13389999999999999</v>
      </c>
      <c r="L133" s="47">
        <v>0.23300000000000001</v>
      </c>
      <c r="M133" s="47">
        <v>0.16200000000000001</v>
      </c>
      <c r="N133" s="47">
        <v>3.0087208341828101E-2</v>
      </c>
      <c r="O133" s="48">
        <v>0.59228000000000003</v>
      </c>
      <c r="P133" s="48">
        <v>2.7920668028021463</v>
      </c>
      <c r="Q133" s="48">
        <v>0</v>
      </c>
    </row>
    <row r="134" spans="1:17" x14ac:dyDescent="0.25">
      <c r="A134" s="25">
        <v>15</v>
      </c>
      <c r="B134" s="5">
        <v>7</v>
      </c>
      <c r="C134" s="6">
        <v>2016</v>
      </c>
      <c r="D134" s="14" t="s">
        <v>34</v>
      </c>
      <c r="E134" s="10">
        <v>0.32258140000000002</v>
      </c>
      <c r="F134" s="41">
        <v>0.49335735321044921</v>
      </c>
      <c r="G134" s="47"/>
      <c r="H134" s="46" t="s">
        <v>19</v>
      </c>
      <c r="I134" s="47">
        <v>0.45610000000000001</v>
      </c>
      <c r="J134" s="47">
        <v>0.16</v>
      </c>
      <c r="K134" s="47">
        <v>0.13850000000000001</v>
      </c>
      <c r="L134" s="47">
        <v>0.20499999999999999</v>
      </c>
      <c r="M134" s="47">
        <v>0.17100000000000001</v>
      </c>
      <c r="N134" s="47">
        <v>2.9883730067564902E-2</v>
      </c>
      <c r="O134" s="48">
        <v>0.59918000000000005</v>
      </c>
      <c r="P134" s="48">
        <v>2.7890116432031355</v>
      </c>
      <c r="Q134" s="48">
        <v>0</v>
      </c>
    </row>
    <row r="135" spans="1:17" x14ac:dyDescent="0.25">
      <c r="A135" s="25">
        <v>15</v>
      </c>
      <c r="B135" s="5">
        <v>8</v>
      </c>
      <c r="C135" s="6">
        <v>2017</v>
      </c>
      <c r="D135" s="14" t="s">
        <v>34</v>
      </c>
      <c r="E135" s="10">
        <v>0.32258138060569763</v>
      </c>
      <c r="F135" s="41">
        <v>0.48197246551513673</v>
      </c>
      <c r="G135" s="47">
        <v>6.0922163048514645E-2</v>
      </c>
      <c r="H135" s="46" t="s">
        <v>19</v>
      </c>
      <c r="I135" s="47">
        <v>0.46029999999999999</v>
      </c>
      <c r="J135" s="47">
        <v>0.15740000000000001</v>
      </c>
      <c r="K135" s="47">
        <v>0.1431</v>
      </c>
      <c r="L135" s="47">
        <v>0.29499999999999998</v>
      </c>
      <c r="M135" s="47">
        <v>0.23300000000000001</v>
      </c>
      <c r="N135" s="47">
        <v>2.9690695848107903E-2</v>
      </c>
      <c r="O135" s="48">
        <v>0.60598999999999992</v>
      </c>
      <c r="P135" s="48">
        <v>2.7984968539943482</v>
      </c>
      <c r="Q135" s="48">
        <v>0</v>
      </c>
    </row>
    <row r="136" spans="1:17" x14ac:dyDescent="0.25">
      <c r="A136" s="25">
        <v>15</v>
      </c>
      <c r="B136" s="5">
        <v>9</v>
      </c>
      <c r="C136" s="6">
        <v>2018</v>
      </c>
      <c r="D136" s="14" t="s">
        <v>34</v>
      </c>
      <c r="E136" s="10">
        <v>0.28643450140953064</v>
      </c>
      <c r="F136" s="41">
        <v>0.46844100952148438</v>
      </c>
      <c r="G136" s="47">
        <v>7.052268045370011E-2</v>
      </c>
      <c r="H136" s="46" t="s">
        <v>19</v>
      </c>
      <c r="I136" s="47">
        <v>0.46450000000000002</v>
      </c>
      <c r="J136" s="47">
        <v>0.15490000000000001</v>
      </c>
      <c r="K136" s="47">
        <v>0.14779999999999999</v>
      </c>
      <c r="L136" s="47">
        <v>0.371</v>
      </c>
      <c r="M136" s="47">
        <v>0.22899999999999998</v>
      </c>
      <c r="N136" s="47">
        <v>2.9460126881425502E-2</v>
      </c>
      <c r="O136" s="48">
        <v>0.61270000000000002</v>
      </c>
      <c r="P136" s="48">
        <v>2.8183102581833679</v>
      </c>
      <c r="Q136" s="48">
        <v>0</v>
      </c>
    </row>
    <row r="137" spans="1:17" x14ac:dyDescent="0.25">
      <c r="A137" s="25">
        <v>16</v>
      </c>
      <c r="B137" s="5">
        <v>1</v>
      </c>
      <c r="C137" s="6">
        <v>2010</v>
      </c>
      <c r="D137" s="28" t="s">
        <v>35</v>
      </c>
      <c r="E137" s="8">
        <v>0.1396917</v>
      </c>
      <c r="F137" s="41">
        <v>0.39284843444824219</v>
      </c>
      <c r="G137" s="47">
        <v>0.16660774808671228</v>
      </c>
      <c r="H137" s="49" t="s">
        <v>28</v>
      </c>
      <c r="I137" s="47">
        <v>0.48430000000000001</v>
      </c>
      <c r="J137" s="47">
        <v>0.14779999999999999</v>
      </c>
      <c r="K137" s="47">
        <v>0.13250000000000001</v>
      </c>
      <c r="L137" s="47">
        <v>0.58099999999999996</v>
      </c>
      <c r="M137" s="47">
        <v>0.52600000000000002</v>
      </c>
      <c r="N137" s="47">
        <v>2.48700897388359E-2</v>
      </c>
      <c r="O137" s="48">
        <v>0.50712999999999997</v>
      </c>
      <c r="P137" s="48">
        <v>3.1399947342822117</v>
      </c>
      <c r="Q137" s="48">
        <v>0.56511311124089603</v>
      </c>
    </row>
    <row r="138" spans="1:17" x14ac:dyDescent="0.25">
      <c r="A138" s="25">
        <v>16</v>
      </c>
      <c r="B138" s="5">
        <v>2</v>
      </c>
      <c r="C138" s="6">
        <v>2011</v>
      </c>
      <c r="D138" s="28" t="s">
        <v>35</v>
      </c>
      <c r="E138" s="8">
        <v>0.1396917</v>
      </c>
      <c r="F138" s="41">
        <v>0.40576728820800784</v>
      </c>
      <c r="G138" s="47">
        <v>0.17195282647350349</v>
      </c>
      <c r="H138" s="49" t="s">
        <v>28</v>
      </c>
      <c r="I138" s="47">
        <v>0.48170000000000002</v>
      </c>
      <c r="J138" s="47">
        <v>0.14480000000000001</v>
      </c>
      <c r="K138" s="47">
        <v>0.1328</v>
      </c>
      <c r="L138" s="47">
        <v>0.56399999999999995</v>
      </c>
      <c r="M138" s="47">
        <v>0.52600000000000002</v>
      </c>
      <c r="N138" s="47">
        <v>2.4244017825610902E-2</v>
      </c>
      <c r="O138" s="48">
        <v>0.51393999999999995</v>
      </c>
      <c r="P138" s="48">
        <v>3.1866344122319123</v>
      </c>
      <c r="Q138" s="48">
        <v>0.55793359167705103</v>
      </c>
    </row>
    <row r="139" spans="1:17" x14ac:dyDescent="0.25">
      <c r="A139" s="25">
        <v>16</v>
      </c>
      <c r="B139" s="5">
        <v>3</v>
      </c>
      <c r="C139" s="6">
        <v>2012</v>
      </c>
      <c r="D139" s="28" t="s">
        <v>35</v>
      </c>
      <c r="E139" s="8">
        <v>0.14000000000000001</v>
      </c>
      <c r="F139" s="41">
        <v>0.39474140167236327</v>
      </c>
      <c r="G139" s="47">
        <v>0.18071712863712289</v>
      </c>
      <c r="H139" s="49" t="s">
        <v>28</v>
      </c>
      <c r="I139" s="47">
        <v>0.47949999999999998</v>
      </c>
      <c r="J139" s="47">
        <v>0.1426</v>
      </c>
      <c r="K139" s="47">
        <v>0.13300000000000001</v>
      </c>
      <c r="L139" s="47">
        <v>0.55000000000000004</v>
      </c>
      <c r="M139" s="47">
        <v>0.53100000000000003</v>
      </c>
      <c r="N139" s="47">
        <v>2.36948272778757E-2</v>
      </c>
      <c r="O139" s="48">
        <v>0.52073000000000003</v>
      </c>
      <c r="P139" s="48">
        <v>3.2147163909376637</v>
      </c>
      <c r="Q139" s="48">
        <v>0.57229263080474102</v>
      </c>
    </row>
    <row r="140" spans="1:17" x14ac:dyDescent="0.25">
      <c r="A140" s="25">
        <v>16</v>
      </c>
      <c r="B140" s="5">
        <v>4</v>
      </c>
      <c r="C140" s="6">
        <v>2013</v>
      </c>
      <c r="D140" s="28" t="s">
        <v>35</v>
      </c>
      <c r="E140" s="19">
        <v>0.14000000000000001</v>
      </c>
      <c r="F140" s="41">
        <v>0.38858100891113279</v>
      </c>
      <c r="G140" s="47">
        <v>0.15292371647932229</v>
      </c>
      <c r="H140" s="49" t="s">
        <v>28</v>
      </c>
      <c r="I140" s="47">
        <v>0.48099999999999998</v>
      </c>
      <c r="J140" s="47">
        <v>0.14480000000000001</v>
      </c>
      <c r="K140" s="47">
        <v>0.1318</v>
      </c>
      <c r="L140" s="47">
        <v>0.55500000000000005</v>
      </c>
      <c r="M140" s="47">
        <v>0.502</v>
      </c>
      <c r="N140" s="47">
        <v>2.3238286071879402E-2</v>
      </c>
      <c r="O140" s="48">
        <v>0.52747999999999995</v>
      </c>
      <c r="P140" s="48">
        <v>3.234903437590952</v>
      </c>
      <c r="Q140" s="48">
        <v>0.68583591515971998</v>
      </c>
    </row>
    <row r="141" spans="1:17" x14ac:dyDescent="0.25">
      <c r="A141" s="25">
        <v>16</v>
      </c>
      <c r="B141" s="5">
        <v>5</v>
      </c>
      <c r="C141" s="6">
        <v>2014</v>
      </c>
      <c r="D141" s="28" t="s">
        <v>35</v>
      </c>
      <c r="E141" s="10">
        <v>0.14399999999999999</v>
      </c>
      <c r="F141" s="41">
        <v>0.3912366485595703</v>
      </c>
      <c r="G141" s="47">
        <v>0.16504890626902582</v>
      </c>
      <c r="H141" s="49" t="s">
        <v>28</v>
      </c>
      <c r="I141" s="47">
        <v>0.48270000000000002</v>
      </c>
      <c r="J141" s="47">
        <v>0.1472</v>
      </c>
      <c r="K141" s="47">
        <v>0.13059999999999999</v>
      </c>
      <c r="L141" s="47">
        <v>0.52400000000000002</v>
      </c>
      <c r="M141" s="47">
        <v>0.42799999999999999</v>
      </c>
      <c r="N141" s="47">
        <v>2.2918138368038399E-2</v>
      </c>
      <c r="O141" s="48">
        <v>0.53418999999999994</v>
      </c>
      <c r="P141" s="48">
        <v>3.236863080882582</v>
      </c>
      <c r="Q141" s="48">
        <v>0.63585449091906798</v>
      </c>
    </row>
    <row r="142" spans="1:17" x14ac:dyDescent="0.25">
      <c r="A142" s="25">
        <v>16</v>
      </c>
      <c r="B142" s="5">
        <v>6</v>
      </c>
      <c r="C142" s="6">
        <v>2015</v>
      </c>
      <c r="D142" s="28" t="s">
        <v>35</v>
      </c>
      <c r="E142" s="10">
        <v>0.13930000000000001</v>
      </c>
      <c r="F142" s="41">
        <v>0.38802185058593752</v>
      </c>
      <c r="G142" s="47">
        <v>0.17933567047218632</v>
      </c>
      <c r="H142" s="49" t="s">
        <v>28</v>
      </c>
      <c r="I142" s="47">
        <v>0.48409999999999997</v>
      </c>
      <c r="J142" s="47">
        <v>0.1492</v>
      </c>
      <c r="K142" s="47">
        <v>0.1295</v>
      </c>
      <c r="L142" s="47">
        <v>0.51</v>
      </c>
      <c r="M142" s="47">
        <v>0.433</v>
      </c>
      <c r="N142" s="47">
        <v>2.2687779824759301E-2</v>
      </c>
      <c r="O142" s="48">
        <v>0.54086000000000001</v>
      </c>
      <c r="P142" s="48">
        <v>3.2359573896178686</v>
      </c>
      <c r="Q142" s="48">
        <v>0.67082587441286801</v>
      </c>
    </row>
    <row r="143" spans="1:17" x14ac:dyDescent="0.25">
      <c r="A143" s="25">
        <v>16</v>
      </c>
      <c r="B143" s="5">
        <v>7</v>
      </c>
      <c r="C143" s="6">
        <v>2016</v>
      </c>
      <c r="D143" s="28" t="s">
        <v>35</v>
      </c>
      <c r="E143" s="10">
        <v>0.1556816</v>
      </c>
      <c r="F143" s="41">
        <v>0.38241268157958985</v>
      </c>
      <c r="G143" s="47">
        <v>0.1743563865604135</v>
      </c>
      <c r="H143" s="49" t="s">
        <v>28</v>
      </c>
      <c r="I143" s="47">
        <v>0.48559999999999998</v>
      </c>
      <c r="J143" s="47">
        <v>0.15140000000000001</v>
      </c>
      <c r="K143" s="47">
        <v>0.12839999999999999</v>
      </c>
      <c r="L143" s="47">
        <v>0.51900000000000002</v>
      </c>
      <c r="M143" s="47">
        <v>0.42899999999999999</v>
      </c>
      <c r="N143" s="47">
        <v>2.2466099601577302E-2</v>
      </c>
      <c r="O143" s="48">
        <v>0.54749000000000003</v>
      </c>
      <c r="P143" s="48">
        <v>3.2404810032236693</v>
      </c>
      <c r="Q143" s="48">
        <v>0.67157892091358906</v>
      </c>
    </row>
    <row r="144" spans="1:17" x14ac:dyDescent="0.25">
      <c r="A144" s="25">
        <v>16</v>
      </c>
      <c r="B144" s="5">
        <v>8</v>
      </c>
      <c r="C144" s="6">
        <v>2017</v>
      </c>
      <c r="D144" s="28" t="s">
        <v>35</v>
      </c>
      <c r="E144" s="10">
        <v>0.15568159520626068</v>
      </c>
      <c r="F144" s="41">
        <v>0.3759109878540039</v>
      </c>
      <c r="G144" s="47">
        <v>0.16099520144414087</v>
      </c>
      <c r="H144" s="49" t="s">
        <v>28</v>
      </c>
      <c r="I144" s="47">
        <v>0.4854</v>
      </c>
      <c r="J144" s="47">
        <v>0.15110000000000001</v>
      </c>
      <c r="K144" s="47">
        <v>0.12839999999999999</v>
      </c>
      <c r="L144" s="47">
        <v>0.46700000000000003</v>
      </c>
      <c r="M144" s="47">
        <v>0.45700000000000002</v>
      </c>
      <c r="N144" s="47">
        <v>2.2205048818903901E-2</v>
      </c>
      <c r="O144" s="48">
        <v>0.55406999999999995</v>
      </c>
      <c r="P144" s="48">
        <v>3.2648884492413774</v>
      </c>
      <c r="Q144" s="48">
        <v>0.663819198608398</v>
      </c>
    </row>
    <row r="145" spans="1:17" x14ac:dyDescent="0.25">
      <c r="A145" s="25">
        <v>16</v>
      </c>
      <c r="B145" s="5">
        <v>9</v>
      </c>
      <c r="C145" s="6">
        <v>2018</v>
      </c>
      <c r="D145" s="28" t="s">
        <v>35</v>
      </c>
      <c r="E145" s="10">
        <v>0.131530657410622</v>
      </c>
      <c r="F145" s="41">
        <v>0.37569698333740237</v>
      </c>
      <c r="G145" s="47">
        <v>0.13714143219220279</v>
      </c>
      <c r="H145" s="49" t="s">
        <v>28</v>
      </c>
      <c r="I145" s="47">
        <v>0.48530000000000001</v>
      </c>
      <c r="J145" s="47">
        <v>0.15090000000000001</v>
      </c>
      <c r="K145" s="47">
        <v>0.12839999999999999</v>
      </c>
      <c r="L145" s="47">
        <v>0.51400000000000001</v>
      </c>
      <c r="M145" s="47">
        <v>0.41</v>
      </c>
      <c r="N145" s="47">
        <v>2.19285287421765E-2</v>
      </c>
      <c r="O145" s="48">
        <v>0.56059999999999999</v>
      </c>
      <c r="P145" s="48">
        <v>3.2820009289223404</v>
      </c>
      <c r="Q145" s="48">
        <v>0.67753822326660196</v>
      </c>
    </row>
    <row r="146" spans="1:17" x14ac:dyDescent="0.25">
      <c r="A146" s="25">
        <v>17</v>
      </c>
      <c r="B146" s="5">
        <v>1</v>
      </c>
      <c r="C146" s="6">
        <v>2010</v>
      </c>
      <c r="D146" s="23" t="s">
        <v>36</v>
      </c>
      <c r="E146" s="8">
        <v>0.50466540000000004</v>
      </c>
      <c r="F146" s="41">
        <v>0.39551189422607425</v>
      </c>
      <c r="G146" s="47">
        <v>3.9427019919574632E-2</v>
      </c>
      <c r="H146" s="49" t="s">
        <v>28</v>
      </c>
      <c r="I146" s="47">
        <v>0.43640000000000001</v>
      </c>
      <c r="J146" s="47">
        <v>0.12609999999999999</v>
      </c>
      <c r="K146" s="47">
        <v>0.1636</v>
      </c>
      <c r="L146" s="47">
        <v>7.5999999999999998E-2</v>
      </c>
      <c r="M146" s="47">
        <v>0.12</v>
      </c>
      <c r="N146" s="47">
        <v>2.2593816111645099E-2</v>
      </c>
      <c r="O146" s="48">
        <v>0.33677999999999997</v>
      </c>
      <c r="P146" s="48">
        <v>2.8297776462503257</v>
      </c>
      <c r="Q146" s="48">
        <v>0.37079845428466746</v>
      </c>
    </row>
    <row r="147" spans="1:17" x14ac:dyDescent="0.25">
      <c r="A147" s="25">
        <v>17</v>
      </c>
      <c r="B147" s="5">
        <v>2</v>
      </c>
      <c r="C147" s="6">
        <v>2011</v>
      </c>
      <c r="D147" s="23" t="s">
        <v>36</v>
      </c>
      <c r="E147" s="8">
        <v>0.505</v>
      </c>
      <c r="F147" s="41">
        <v>0.3962839126586914</v>
      </c>
      <c r="G147" s="47">
        <v>6.8178937916267029E-2</v>
      </c>
      <c r="H147" s="49" t="s">
        <v>28</v>
      </c>
      <c r="I147" s="47">
        <v>0.42849999999999999</v>
      </c>
      <c r="J147" s="47">
        <v>0.12479999999999999</v>
      </c>
      <c r="K147" s="47">
        <v>0.16900000000000001</v>
      </c>
      <c r="L147" s="47">
        <v>0.128</v>
      </c>
      <c r="M147" s="47">
        <v>0.11800000000000001</v>
      </c>
      <c r="N147" s="47">
        <v>2.21515030486438E-2</v>
      </c>
      <c r="O147" s="48">
        <v>0.33966000000000002</v>
      </c>
      <c r="P147" s="48">
        <v>2.8427340135807659</v>
      </c>
      <c r="Q147" s="48">
        <v>0.36998241424560496</v>
      </c>
    </row>
    <row r="148" spans="1:17" x14ac:dyDescent="0.25">
      <c r="A148" s="25">
        <v>17</v>
      </c>
      <c r="B148" s="5">
        <v>3</v>
      </c>
      <c r="C148" s="6">
        <v>2012</v>
      </c>
      <c r="D148" s="23" t="s">
        <v>36</v>
      </c>
      <c r="E148" s="19">
        <v>0.505</v>
      </c>
      <c r="F148" s="41">
        <v>0.39387737274169921</v>
      </c>
      <c r="G148" s="47">
        <v>5.9185801595018475E-2</v>
      </c>
      <c r="H148" s="49" t="s">
        <v>28</v>
      </c>
      <c r="I148" s="47">
        <v>0.42049999999999998</v>
      </c>
      <c r="J148" s="47">
        <v>0.1235</v>
      </c>
      <c r="K148" s="47">
        <v>0.1744</v>
      </c>
      <c r="L148" s="47">
        <v>0.14699999999999999</v>
      </c>
      <c r="M148" s="47">
        <v>0.09</v>
      </c>
      <c r="N148" s="47">
        <v>2.1979586818770002E-2</v>
      </c>
      <c r="O148" s="48">
        <v>0.34255000000000002</v>
      </c>
      <c r="P148" s="48">
        <v>2.8570343696703397</v>
      </c>
      <c r="Q148" s="48">
        <v>0.37161449432372995</v>
      </c>
    </row>
    <row r="149" spans="1:17" x14ac:dyDescent="0.25">
      <c r="A149" s="25">
        <v>17</v>
      </c>
      <c r="B149" s="5">
        <v>4</v>
      </c>
      <c r="C149" s="6">
        <v>2013</v>
      </c>
      <c r="D149" s="23" t="s">
        <v>36</v>
      </c>
      <c r="E149" s="10">
        <v>0.50600000000000001</v>
      </c>
      <c r="F149" s="41">
        <v>0.39657398223876955</v>
      </c>
      <c r="G149" s="47">
        <v>7.341820073840985E-2</v>
      </c>
      <c r="H149" s="49" t="s">
        <v>28</v>
      </c>
      <c r="I149" s="47">
        <v>0.41249999999999998</v>
      </c>
      <c r="J149" s="47">
        <v>0.1172</v>
      </c>
      <c r="K149" s="47">
        <v>0.17810000000000001</v>
      </c>
      <c r="L149" s="47">
        <v>0.13699999999999998</v>
      </c>
      <c r="M149" s="47">
        <v>0.114</v>
      </c>
      <c r="N149" s="47">
        <v>2.2353276316063101E-2</v>
      </c>
      <c r="O149" s="48">
        <v>0.34545000000000003</v>
      </c>
      <c r="P149" s="48">
        <v>2.863223581689379</v>
      </c>
      <c r="Q149" s="48">
        <v>0.38280664413397503</v>
      </c>
    </row>
    <row r="150" spans="1:17" x14ac:dyDescent="0.25">
      <c r="A150" s="25">
        <v>17</v>
      </c>
      <c r="B150" s="5">
        <v>5</v>
      </c>
      <c r="C150" s="6">
        <v>2014</v>
      </c>
      <c r="D150" s="23" t="s">
        <v>36</v>
      </c>
      <c r="E150" s="10">
        <v>0.505799</v>
      </c>
      <c r="F150" s="41">
        <v>0.39526393890380862</v>
      </c>
      <c r="G150" s="47">
        <v>9.9357031086804395E-2</v>
      </c>
      <c r="H150" s="49" t="s">
        <v>28</v>
      </c>
      <c r="I150" s="47">
        <v>0.40439999999999998</v>
      </c>
      <c r="J150" s="47">
        <v>0.1108</v>
      </c>
      <c r="K150" s="47">
        <v>0.18190000000000001</v>
      </c>
      <c r="L150" s="47">
        <v>0.13500000000000001</v>
      </c>
      <c r="M150" s="47">
        <v>0.106</v>
      </c>
      <c r="N150" s="47">
        <v>2.3422541244016298E-2</v>
      </c>
      <c r="O150" s="48">
        <v>0.34836</v>
      </c>
      <c r="P150" s="48">
        <v>2.8682165589739057</v>
      </c>
      <c r="Q150" s="48">
        <v>0.38908920288085902</v>
      </c>
    </row>
    <row r="151" spans="1:17" x14ac:dyDescent="0.25">
      <c r="A151" s="25">
        <v>17</v>
      </c>
      <c r="B151" s="5">
        <v>6</v>
      </c>
      <c r="C151" s="6">
        <v>2015</v>
      </c>
      <c r="D151" s="23" t="s">
        <v>36</v>
      </c>
      <c r="E151" s="12">
        <v>0.4589898</v>
      </c>
      <c r="F151" s="41">
        <v>0.3946533203125</v>
      </c>
      <c r="G151" s="47">
        <v>0.11820849950981062</v>
      </c>
      <c r="H151" s="49" t="s">
        <v>28</v>
      </c>
      <c r="I151" s="47">
        <v>0.39639999999999997</v>
      </c>
      <c r="J151" s="47">
        <v>0.1045</v>
      </c>
      <c r="K151" s="47">
        <v>0.18559999999999999</v>
      </c>
      <c r="L151" s="47">
        <v>0.152</v>
      </c>
      <c r="M151" s="47">
        <v>0.114</v>
      </c>
      <c r="N151" s="47">
        <v>2.4898348435130998E-2</v>
      </c>
      <c r="O151" s="48">
        <v>0.35141</v>
      </c>
      <c r="P151" s="48">
        <v>2.8735280873094919</v>
      </c>
      <c r="Q151" s="48">
        <v>0.35658064488568397</v>
      </c>
    </row>
    <row r="152" spans="1:17" x14ac:dyDescent="0.25">
      <c r="A152" s="25">
        <v>17</v>
      </c>
      <c r="B152" s="5">
        <v>7</v>
      </c>
      <c r="C152" s="6">
        <v>2016</v>
      </c>
      <c r="D152" s="23" t="s">
        <v>36</v>
      </c>
      <c r="E152" s="10">
        <v>0.4589898</v>
      </c>
      <c r="F152" s="41">
        <v>0.38005176544189451</v>
      </c>
      <c r="G152" s="47">
        <v>0.1077225987066399</v>
      </c>
      <c r="H152" s="49" t="s">
        <v>28</v>
      </c>
      <c r="I152" s="47">
        <v>0.38829999999999998</v>
      </c>
      <c r="J152" s="47">
        <v>9.8199999999999996E-2</v>
      </c>
      <c r="K152" s="47">
        <v>0.1893</v>
      </c>
      <c r="L152" s="47">
        <v>0.152</v>
      </c>
      <c r="M152" s="47">
        <v>0.129</v>
      </c>
      <c r="N152" s="47">
        <v>2.6443577310383302E-2</v>
      </c>
      <c r="O152" s="48">
        <v>0.35460000000000003</v>
      </c>
      <c r="P152" s="48">
        <v>2.9070007482505993</v>
      </c>
      <c r="Q152" s="48">
        <v>0.36847581847581801</v>
      </c>
    </row>
    <row r="153" spans="1:17" x14ac:dyDescent="0.25">
      <c r="A153" s="25">
        <v>17</v>
      </c>
      <c r="B153" s="5">
        <v>8</v>
      </c>
      <c r="C153" s="6">
        <v>2017</v>
      </c>
      <c r="D153" s="23" t="s">
        <v>36</v>
      </c>
      <c r="E153" s="10">
        <v>0.45898976922035217</v>
      </c>
      <c r="F153" s="41">
        <v>0.36900833129882815</v>
      </c>
      <c r="G153" s="47">
        <v>9.1156915280241113E-2</v>
      </c>
      <c r="H153" s="49" t="s">
        <v>28</v>
      </c>
      <c r="I153" s="47">
        <v>0.38030000000000003</v>
      </c>
      <c r="J153" s="47">
        <v>9.1899999999999996E-2</v>
      </c>
      <c r="K153" s="47">
        <v>0.193</v>
      </c>
      <c r="L153" s="47">
        <v>0.14300000000000002</v>
      </c>
      <c r="M153" s="47">
        <v>0.13300000000000001</v>
      </c>
      <c r="N153" s="47">
        <v>2.764879904347E-2</v>
      </c>
      <c r="O153" s="48">
        <v>0.35792999999999997</v>
      </c>
      <c r="P153" s="48">
        <v>2.9384734426181023</v>
      </c>
      <c r="Q153" s="48">
        <v>0.36252823168075099</v>
      </c>
    </row>
    <row r="154" spans="1:17" x14ac:dyDescent="0.25">
      <c r="A154" s="25">
        <v>17</v>
      </c>
      <c r="B154" s="5">
        <v>9</v>
      </c>
      <c r="C154" s="6">
        <v>2018</v>
      </c>
      <c r="D154" s="23" t="s">
        <v>36</v>
      </c>
      <c r="E154" s="10">
        <v>0.33734473586082497</v>
      </c>
      <c r="F154" s="41">
        <v>0.36470741271972656</v>
      </c>
      <c r="G154" s="47">
        <v>9.651737671689381E-2</v>
      </c>
      <c r="H154" s="49" t="s">
        <v>28</v>
      </c>
      <c r="I154" s="47">
        <v>0.37219999999999998</v>
      </c>
      <c r="J154" s="47">
        <v>8.5500000000000007E-2</v>
      </c>
      <c r="K154" s="47">
        <v>0.19670000000000001</v>
      </c>
      <c r="L154" s="47">
        <v>0.13300000000000001</v>
      </c>
      <c r="M154" s="47">
        <v>0.14300000000000002</v>
      </c>
      <c r="N154" s="47">
        <v>2.8331175118102001E-2</v>
      </c>
      <c r="O154" s="48">
        <v>0.3614</v>
      </c>
      <c r="P154" s="48">
        <v>2.9541977883383921</v>
      </c>
      <c r="Q154" s="48">
        <v>0.37661568338865303</v>
      </c>
    </row>
    <row r="155" spans="1:17" x14ac:dyDescent="0.25">
      <c r="A155" s="25">
        <v>18</v>
      </c>
      <c r="B155" s="5">
        <v>1</v>
      </c>
      <c r="C155" s="6">
        <v>2010</v>
      </c>
      <c r="D155" s="29" t="s">
        <v>37</v>
      </c>
      <c r="E155" s="19">
        <v>0.46238200000000002</v>
      </c>
      <c r="F155" s="41">
        <v>0.37823467254638671</v>
      </c>
      <c r="G155" s="47">
        <v>6.3595348790891959E-2</v>
      </c>
      <c r="H155" s="49" t="s">
        <v>19</v>
      </c>
      <c r="I155" s="47">
        <v>0.43840000000000001</v>
      </c>
      <c r="J155" s="47">
        <v>0.1321</v>
      </c>
      <c r="K155" s="47">
        <v>0.16650000000000001</v>
      </c>
      <c r="L155" s="47">
        <v>0.11900000000000001</v>
      </c>
      <c r="M155" s="47">
        <v>0.13900000000000001</v>
      </c>
      <c r="N155" s="47">
        <v>2.5734135265684899E-2</v>
      </c>
      <c r="O155" s="48">
        <v>0.40110999999999997</v>
      </c>
      <c r="P155" s="48">
        <v>2.7965077459684582</v>
      </c>
      <c r="Q155" s="48">
        <v>0.36998241424560496</v>
      </c>
    </row>
    <row r="156" spans="1:17" x14ac:dyDescent="0.25">
      <c r="A156" s="25">
        <v>18</v>
      </c>
      <c r="B156" s="5">
        <v>2</v>
      </c>
      <c r="C156" s="6">
        <v>2011</v>
      </c>
      <c r="D156" s="29" t="s">
        <v>37</v>
      </c>
      <c r="E156" s="19">
        <v>0.46238200000000002</v>
      </c>
      <c r="F156" s="41">
        <v>0.37135173797607424</v>
      </c>
      <c r="G156" s="47">
        <v>8.6866054399267215E-2</v>
      </c>
      <c r="H156" s="49" t="s">
        <v>19</v>
      </c>
      <c r="I156" s="47">
        <v>0.43790000000000001</v>
      </c>
      <c r="J156" s="47">
        <v>0.1313</v>
      </c>
      <c r="K156" s="47">
        <v>0.1666</v>
      </c>
      <c r="L156" s="47">
        <v>0.109</v>
      </c>
      <c r="M156" s="47">
        <v>0.13699999999999998</v>
      </c>
      <c r="N156" s="47">
        <v>2.6183122053031901E-2</v>
      </c>
      <c r="O156" s="48">
        <v>0.40508000000000005</v>
      </c>
      <c r="P156" s="48">
        <v>2.818854749637552</v>
      </c>
      <c r="Q156" s="48">
        <v>0.36998241424560496</v>
      </c>
    </row>
    <row r="157" spans="1:17" x14ac:dyDescent="0.25">
      <c r="A157" s="25">
        <v>18</v>
      </c>
      <c r="B157" s="5">
        <v>3</v>
      </c>
      <c r="C157" s="6">
        <v>2012</v>
      </c>
      <c r="D157" s="29" t="s">
        <v>37</v>
      </c>
      <c r="E157" s="19">
        <v>0.46238200000000002</v>
      </c>
      <c r="F157" s="41">
        <v>0.38319709777832034</v>
      </c>
      <c r="G157" s="47">
        <v>0.1222372441440121</v>
      </c>
      <c r="H157" s="49" t="s">
        <v>19</v>
      </c>
      <c r="I157" s="47">
        <v>0.4375</v>
      </c>
      <c r="J157" s="47">
        <v>0.13039999999999999</v>
      </c>
      <c r="K157" s="47">
        <v>0.1668</v>
      </c>
      <c r="L157" s="47">
        <v>5.7000000000000002E-2</v>
      </c>
      <c r="M157" s="47">
        <v>7.5999999999999998E-2</v>
      </c>
      <c r="N157" s="47">
        <v>2.6507426250676099E-2</v>
      </c>
      <c r="O157" s="48">
        <v>0.40908</v>
      </c>
      <c r="P157" s="48">
        <v>2.7998012245486312</v>
      </c>
      <c r="Q157" s="48">
        <v>0.37161449432372995</v>
      </c>
    </row>
    <row r="158" spans="1:17" x14ac:dyDescent="0.25">
      <c r="A158" s="25">
        <v>18</v>
      </c>
      <c r="B158" s="5">
        <v>4</v>
      </c>
      <c r="C158" s="6">
        <v>2013</v>
      </c>
      <c r="D158" s="29" t="s">
        <v>37</v>
      </c>
      <c r="E158" s="19">
        <v>0.46238200000000002</v>
      </c>
      <c r="F158" s="41">
        <v>0.37703563690185549</v>
      </c>
      <c r="G158" s="47">
        <v>0.11986495696458124</v>
      </c>
      <c r="H158" s="49" t="s">
        <v>19</v>
      </c>
      <c r="I158" s="47">
        <v>0.43709999999999999</v>
      </c>
      <c r="J158" s="47">
        <v>0.1295</v>
      </c>
      <c r="K158" s="47">
        <v>0.16700000000000001</v>
      </c>
      <c r="L158" s="47">
        <v>3.7999999999999999E-2</v>
      </c>
      <c r="M158" s="47">
        <v>5.2000000000000005E-2</v>
      </c>
      <c r="N158" s="47">
        <v>2.6607660827406197E-2</v>
      </c>
      <c r="O158" s="48">
        <v>0.41310000000000002</v>
      </c>
      <c r="P158" s="48">
        <v>2.8021546410557656</v>
      </c>
      <c r="Q158" s="48">
        <v>0.38280664413397503</v>
      </c>
    </row>
    <row r="159" spans="1:17" x14ac:dyDescent="0.25">
      <c r="A159" s="25">
        <v>18</v>
      </c>
      <c r="B159" s="5">
        <v>5</v>
      </c>
      <c r="C159" s="6">
        <v>2014</v>
      </c>
      <c r="D159" s="29" t="s">
        <v>37</v>
      </c>
      <c r="E159" s="10">
        <v>0.46238200000000002</v>
      </c>
      <c r="F159" s="41">
        <v>0.39502117156982419</v>
      </c>
      <c r="G159" s="47">
        <v>0.13433899612692612</v>
      </c>
      <c r="H159" s="49" t="s">
        <v>19</v>
      </c>
      <c r="I159" s="47">
        <v>0.43669999999999998</v>
      </c>
      <c r="J159" s="47">
        <v>0.12870000000000001</v>
      </c>
      <c r="K159" s="47">
        <v>0.1671</v>
      </c>
      <c r="L159" s="47">
        <v>1.9E-2</v>
      </c>
      <c r="M159" s="47">
        <v>3.4000000000000002E-2</v>
      </c>
      <c r="N159" s="47">
        <v>2.6447559277010001E-2</v>
      </c>
      <c r="O159" s="48">
        <v>0.41715000000000002</v>
      </c>
      <c r="P159" s="48">
        <v>2.7949131815754868</v>
      </c>
      <c r="Q159" s="48">
        <v>0.38908920288085902</v>
      </c>
    </row>
    <row r="160" spans="1:17" x14ac:dyDescent="0.25">
      <c r="A160" s="25">
        <v>18</v>
      </c>
      <c r="B160" s="5">
        <v>6</v>
      </c>
      <c r="C160" s="6">
        <v>2015</v>
      </c>
      <c r="D160" s="29" t="s">
        <v>37</v>
      </c>
      <c r="E160" s="12">
        <v>0.46238190000000001</v>
      </c>
      <c r="F160" s="41">
        <v>0.38623943328857424</v>
      </c>
      <c r="G160" s="47">
        <v>7.7799563478297459E-2</v>
      </c>
      <c r="H160" s="49" t="s">
        <v>19</v>
      </c>
      <c r="I160" s="47">
        <v>0.43619999999999998</v>
      </c>
      <c r="J160" s="47">
        <v>0.1278</v>
      </c>
      <c r="K160" s="47">
        <v>0.1673</v>
      </c>
      <c r="L160" s="47">
        <v>2.4E-2</v>
      </c>
      <c r="M160" s="47">
        <v>3.3000000000000002E-2</v>
      </c>
      <c r="N160" s="47">
        <v>2.6111512533030998E-2</v>
      </c>
      <c r="O160" s="48">
        <v>0.42122999999999999</v>
      </c>
      <c r="P160" s="48">
        <v>2.8096047154513366</v>
      </c>
      <c r="Q160" s="48">
        <v>0.35658064488568397</v>
      </c>
    </row>
    <row r="161" spans="1:17" x14ac:dyDescent="0.25">
      <c r="A161" s="25">
        <v>18</v>
      </c>
      <c r="B161" s="5">
        <v>7</v>
      </c>
      <c r="C161" s="6">
        <v>2016</v>
      </c>
      <c r="D161" s="29" t="s">
        <v>37</v>
      </c>
      <c r="E161" s="10">
        <v>0.46238190000000001</v>
      </c>
      <c r="F161" s="41">
        <v>0.37868068695068358</v>
      </c>
      <c r="G161" s="47">
        <v>7.0058628060382364E-2</v>
      </c>
      <c r="H161" s="49" t="s">
        <v>19</v>
      </c>
      <c r="I161" s="47">
        <v>0.43580000000000002</v>
      </c>
      <c r="J161" s="47">
        <v>0.127</v>
      </c>
      <c r="K161" s="47">
        <v>0.16750000000000001</v>
      </c>
      <c r="L161" s="47">
        <v>2.4E-2</v>
      </c>
      <c r="M161" s="47">
        <v>3.7999999999999999E-2</v>
      </c>
      <c r="N161" s="47">
        <v>2.5701194829718301E-2</v>
      </c>
      <c r="O161" s="48">
        <v>0.42532999999999999</v>
      </c>
      <c r="P161" s="48">
        <v>2.8211527554513456</v>
      </c>
      <c r="Q161" s="48">
        <v>0.36847581847581801</v>
      </c>
    </row>
    <row r="162" spans="1:17" x14ac:dyDescent="0.25">
      <c r="A162" s="25">
        <v>18</v>
      </c>
      <c r="B162" s="5">
        <v>8</v>
      </c>
      <c r="C162" s="6">
        <v>2017</v>
      </c>
      <c r="D162" s="29" t="s">
        <v>37</v>
      </c>
      <c r="E162" s="10">
        <v>0.37075430154800415</v>
      </c>
      <c r="F162" s="41">
        <v>0.37314907073974607</v>
      </c>
      <c r="G162" s="47">
        <v>0.11709057441023779</v>
      </c>
      <c r="H162" s="49" t="s">
        <v>19</v>
      </c>
      <c r="I162" s="47">
        <v>0.43540000000000001</v>
      </c>
      <c r="J162" s="47">
        <v>0.12609999999999999</v>
      </c>
      <c r="K162" s="47">
        <v>0.1676</v>
      </c>
      <c r="L162" s="47">
        <v>1.9E-2</v>
      </c>
      <c r="M162" s="47">
        <v>1.9E-2</v>
      </c>
      <c r="N162" s="47">
        <v>2.5322492578749901E-2</v>
      </c>
      <c r="O162" s="48">
        <v>0.42945</v>
      </c>
      <c r="P162" s="48">
        <v>2.830887588325409</v>
      </c>
      <c r="Q162" s="48">
        <v>0.37254575093223552</v>
      </c>
    </row>
    <row r="163" spans="1:17" x14ac:dyDescent="0.25">
      <c r="A163" s="25">
        <v>18</v>
      </c>
      <c r="B163" s="5">
        <v>9</v>
      </c>
      <c r="C163" s="6">
        <v>2018</v>
      </c>
      <c r="D163" s="29" t="s">
        <v>37</v>
      </c>
      <c r="E163" s="10">
        <v>0.37321242690086365</v>
      </c>
      <c r="F163" s="41">
        <v>0.36779396057128905</v>
      </c>
      <c r="G163" s="47">
        <v>0.13853517405165203</v>
      </c>
      <c r="H163" s="49" t="s">
        <v>19</v>
      </c>
      <c r="I163" s="47">
        <v>0.435</v>
      </c>
      <c r="J163" s="47">
        <v>0.12529999999999999</v>
      </c>
      <c r="K163" s="47">
        <v>0.1678</v>
      </c>
      <c r="L163" s="47">
        <v>2.4E-2</v>
      </c>
      <c r="M163" s="47">
        <v>6.7000000000000004E-2</v>
      </c>
      <c r="N163" s="47">
        <v>2.4935051959005999E-2</v>
      </c>
      <c r="O163" s="48">
        <v>0.43359999999999999</v>
      </c>
      <c r="P163" s="48">
        <v>2.8366132240269386</v>
      </c>
      <c r="Q163" s="48">
        <v>0.37661568338865303</v>
      </c>
    </row>
    <row r="164" spans="1:17" x14ac:dyDescent="0.25">
      <c r="A164" s="25">
        <v>19</v>
      </c>
      <c r="B164" s="5">
        <v>1</v>
      </c>
      <c r="C164" s="6">
        <v>2010</v>
      </c>
      <c r="D164" s="24" t="s">
        <v>38</v>
      </c>
      <c r="E164" s="8">
        <v>0.3020832</v>
      </c>
      <c r="F164" s="41">
        <v>0.32444923400878906</v>
      </c>
      <c r="G164" s="47">
        <v>0.23986636546331752</v>
      </c>
      <c r="H164" s="49" t="s">
        <v>17</v>
      </c>
      <c r="I164" s="47">
        <v>0.5141</v>
      </c>
      <c r="J164" s="47">
        <v>0.18160000000000001</v>
      </c>
      <c r="K164" s="47">
        <v>0.12790000000000001</v>
      </c>
      <c r="L164" s="47">
        <v>0.19500000000000001</v>
      </c>
      <c r="M164" s="47">
        <v>0.34899999999999998</v>
      </c>
      <c r="N164" s="47">
        <v>2.7225900011838999E-2</v>
      </c>
      <c r="O164" s="48">
        <v>0.23571</v>
      </c>
      <c r="P164" s="48">
        <v>3.127158166016994</v>
      </c>
      <c r="Q164" s="48">
        <v>0</v>
      </c>
    </row>
    <row r="165" spans="1:17" x14ac:dyDescent="0.25">
      <c r="A165" s="25">
        <v>19</v>
      </c>
      <c r="B165" s="5">
        <v>2</v>
      </c>
      <c r="C165" s="6">
        <v>2011</v>
      </c>
      <c r="D165" s="24" t="s">
        <v>38</v>
      </c>
      <c r="E165" s="8">
        <v>0.24399999999999999</v>
      </c>
      <c r="F165" s="41">
        <v>0.3204275894165039</v>
      </c>
      <c r="G165" s="47">
        <v>0.27365952845287728</v>
      </c>
      <c r="H165" s="49" t="s">
        <v>17</v>
      </c>
      <c r="I165" s="47">
        <v>0.50760000000000005</v>
      </c>
      <c r="J165" s="47">
        <v>0.17530000000000001</v>
      </c>
      <c r="K165" s="47">
        <v>0.1303</v>
      </c>
      <c r="L165" s="47">
        <v>0.185</v>
      </c>
      <c r="M165" s="47">
        <v>0.33600000000000002</v>
      </c>
      <c r="N165" s="47">
        <v>2.6937436464668899E-2</v>
      </c>
      <c r="O165" s="48">
        <v>0.23969000000000001</v>
      </c>
      <c r="P165" s="48">
        <v>3.1369043929161275</v>
      </c>
      <c r="Q165" s="48">
        <v>0</v>
      </c>
    </row>
    <row r="166" spans="1:17" x14ac:dyDescent="0.25">
      <c r="A166" s="25">
        <v>19</v>
      </c>
      <c r="B166" s="5">
        <v>3</v>
      </c>
      <c r="C166" s="6">
        <v>2012</v>
      </c>
      <c r="D166" s="24" t="s">
        <v>38</v>
      </c>
      <c r="E166" s="9">
        <v>0.24399999999999999</v>
      </c>
      <c r="F166" s="41">
        <v>0.31745941162109376</v>
      </c>
      <c r="G166" s="47">
        <v>0.26402234114029416</v>
      </c>
      <c r="H166" s="49" t="s">
        <v>17</v>
      </c>
      <c r="I166" s="47">
        <v>0.50160000000000005</v>
      </c>
      <c r="J166" s="47">
        <v>0.1699</v>
      </c>
      <c r="K166" s="47">
        <v>0.1326</v>
      </c>
      <c r="L166" s="47">
        <v>0.128</v>
      </c>
      <c r="M166" s="47">
        <v>0.35499999999999998</v>
      </c>
      <c r="N166" s="47">
        <v>2.6628078044088302E-2</v>
      </c>
      <c r="O166" s="48">
        <v>0.24376</v>
      </c>
      <c r="P166" s="48">
        <v>3.1449792938648451</v>
      </c>
      <c r="Q166" s="48">
        <v>0</v>
      </c>
    </row>
    <row r="167" spans="1:17" x14ac:dyDescent="0.25">
      <c r="A167" s="25">
        <v>19</v>
      </c>
      <c r="B167" s="5">
        <v>4</v>
      </c>
      <c r="C167" s="6">
        <v>2013</v>
      </c>
      <c r="D167" s="24" t="s">
        <v>38</v>
      </c>
      <c r="E167" s="10">
        <v>0.22900000000000001</v>
      </c>
      <c r="F167" s="41">
        <v>0.31359832763671874</v>
      </c>
      <c r="G167" s="47">
        <v>0.2833217220434705</v>
      </c>
      <c r="H167" s="49" t="s">
        <v>17</v>
      </c>
      <c r="I167" s="47">
        <v>0.49459999999999998</v>
      </c>
      <c r="J167" s="47">
        <v>0.1628</v>
      </c>
      <c r="K167" s="47">
        <v>0.13519999999999999</v>
      </c>
      <c r="L167" s="47">
        <v>0.14699999999999999</v>
      </c>
      <c r="M167" s="47">
        <v>0.374</v>
      </c>
      <c r="N167" s="47">
        <v>2.6186044777613802E-2</v>
      </c>
      <c r="O167" s="48">
        <v>0.24793999999999999</v>
      </c>
      <c r="P167" s="48">
        <v>3.1504314184933313</v>
      </c>
      <c r="Q167" s="48">
        <v>0</v>
      </c>
    </row>
    <row r="168" spans="1:17" x14ac:dyDescent="0.25">
      <c r="A168" s="25">
        <v>19</v>
      </c>
      <c r="B168" s="5">
        <v>5</v>
      </c>
      <c r="C168" s="6">
        <v>2014</v>
      </c>
      <c r="D168" s="24" t="s">
        <v>38</v>
      </c>
      <c r="E168" s="10">
        <v>0.229376</v>
      </c>
      <c r="F168" s="41">
        <v>0.30866184234619143</v>
      </c>
      <c r="G168" s="47">
        <v>0.34522065177838662</v>
      </c>
      <c r="H168" s="49" t="s">
        <v>17</v>
      </c>
      <c r="I168" s="47">
        <v>0.48799999999999999</v>
      </c>
      <c r="J168" s="47">
        <v>0.1565</v>
      </c>
      <c r="K168" s="47">
        <v>0.1376</v>
      </c>
      <c r="L168" s="47">
        <v>0.16300000000000001</v>
      </c>
      <c r="M168" s="47">
        <v>0.40899999999999997</v>
      </c>
      <c r="N168" s="47">
        <v>2.55940314494339E-2</v>
      </c>
      <c r="O168" s="48">
        <v>0.25220999999999999</v>
      </c>
      <c r="P168" s="48">
        <v>3.1615456917679792</v>
      </c>
      <c r="Q168" s="48">
        <v>0</v>
      </c>
    </row>
    <row r="169" spans="1:17" x14ac:dyDescent="0.25">
      <c r="A169" s="25">
        <v>19</v>
      </c>
      <c r="B169" s="5">
        <v>6</v>
      </c>
      <c r="C169" s="6">
        <v>2015</v>
      </c>
      <c r="D169" s="24" t="s">
        <v>38</v>
      </c>
      <c r="E169" s="10">
        <v>0.2293761</v>
      </c>
      <c r="F169" s="41">
        <v>0.30547565460205078</v>
      </c>
      <c r="G169" s="47">
        <v>0.36699329350839738</v>
      </c>
      <c r="H169" s="49" t="s">
        <v>17</v>
      </c>
      <c r="I169" s="47">
        <v>0.48149999999999998</v>
      </c>
      <c r="J169" s="47">
        <v>0.1502</v>
      </c>
      <c r="K169" s="47">
        <v>0.14000000000000001</v>
      </c>
      <c r="L169" s="47">
        <v>0.14300000000000002</v>
      </c>
      <c r="M169" s="47">
        <v>0.38600000000000001</v>
      </c>
      <c r="N169" s="47">
        <v>2.4917675483783701E-2</v>
      </c>
      <c r="O169" s="48">
        <v>0.25658000000000003</v>
      </c>
      <c r="P169" s="48">
        <v>3.1729295792612056</v>
      </c>
      <c r="Q169" s="48">
        <v>0</v>
      </c>
    </row>
    <row r="170" spans="1:17" x14ac:dyDescent="0.25">
      <c r="A170" s="25">
        <v>19</v>
      </c>
      <c r="B170" s="5">
        <v>7</v>
      </c>
      <c r="C170" s="6">
        <v>2016</v>
      </c>
      <c r="D170" s="24" t="s">
        <v>38</v>
      </c>
      <c r="E170" s="10">
        <v>0.18741820000000001</v>
      </c>
      <c r="F170" s="41">
        <v>0.29824079513549806</v>
      </c>
      <c r="G170" s="47">
        <v>0.35571073213439741</v>
      </c>
      <c r="H170" s="49" t="s">
        <v>17</v>
      </c>
      <c r="I170" s="47">
        <v>0.47389999999999999</v>
      </c>
      <c r="J170" s="47">
        <v>0.1439</v>
      </c>
      <c r="K170" s="47">
        <v>0.1444</v>
      </c>
      <c r="L170" s="47">
        <v>0.16699999999999998</v>
      </c>
      <c r="M170" s="47">
        <v>0.371</v>
      </c>
      <c r="N170" s="47">
        <v>2.4208209378037301E-2</v>
      </c>
      <c r="O170" s="48">
        <v>0.26105</v>
      </c>
      <c r="P170" s="48">
        <v>3.1812654661120998</v>
      </c>
      <c r="Q170" s="48">
        <v>0</v>
      </c>
    </row>
    <row r="171" spans="1:17" x14ac:dyDescent="0.25">
      <c r="A171" s="25">
        <v>19</v>
      </c>
      <c r="B171" s="5">
        <v>8</v>
      </c>
      <c r="C171" s="6">
        <v>2017</v>
      </c>
      <c r="D171" s="24" t="s">
        <v>38</v>
      </c>
      <c r="E171" s="10">
        <v>0.18741819262504578</v>
      </c>
      <c r="F171" s="41">
        <v>0.29436239242553713</v>
      </c>
      <c r="G171" s="47">
        <v>0.33150599303110573</v>
      </c>
      <c r="H171" s="49" t="s">
        <v>17</v>
      </c>
      <c r="I171" s="47">
        <v>0.46629999999999999</v>
      </c>
      <c r="J171" s="47">
        <v>0.1376</v>
      </c>
      <c r="K171" s="47">
        <v>0.14879999999999999</v>
      </c>
      <c r="L171" s="47">
        <v>0.152</v>
      </c>
      <c r="M171" s="47">
        <v>0.371</v>
      </c>
      <c r="N171" s="47">
        <v>2.3564774490698E-2</v>
      </c>
      <c r="O171" s="48">
        <v>0.26562000000000002</v>
      </c>
      <c r="P171" s="48">
        <v>3.1881794855448597</v>
      </c>
      <c r="Q171" s="48">
        <v>0</v>
      </c>
    </row>
    <row r="172" spans="1:17" x14ac:dyDescent="0.25">
      <c r="A172" s="25">
        <v>19</v>
      </c>
      <c r="B172" s="5">
        <v>9</v>
      </c>
      <c r="C172" s="6">
        <v>2018</v>
      </c>
      <c r="D172" s="24" t="s">
        <v>38</v>
      </c>
      <c r="E172" s="10">
        <v>0.1788792759180069</v>
      </c>
      <c r="F172" s="41">
        <v>0.29205049514770509</v>
      </c>
      <c r="G172" s="47">
        <v>0.31198689767300153</v>
      </c>
      <c r="H172" s="49" t="s">
        <v>17</v>
      </c>
      <c r="I172" s="47">
        <v>0.4587</v>
      </c>
      <c r="J172" s="47">
        <v>0.1313</v>
      </c>
      <c r="K172" s="47">
        <v>0.15329999999999999</v>
      </c>
      <c r="L172" s="47">
        <v>0.2</v>
      </c>
      <c r="M172" s="47">
        <v>0.34299999999999997</v>
      </c>
      <c r="N172" s="47">
        <v>2.3057436420349398E-2</v>
      </c>
      <c r="O172" s="48">
        <v>0.27029999999999998</v>
      </c>
      <c r="P172" s="48">
        <v>3.2032207302191162</v>
      </c>
      <c r="Q172" s="48">
        <v>0</v>
      </c>
    </row>
    <row r="173" spans="1:17" x14ac:dyDescent="0.25">
      <c r="A173" s="25">
        <v>20</v>
      </c>
      <c r="B173" s="5">
        <v>1</v>
      </c>
      <c r="C173" s="6">
        <v>2010</v>
      </c>
      <c r="D173" s="14" t="s">
        <v>39</v>
      </c>
      <c r="E173" s="8">
        <v>0.22009899999999999</v>
      </c>
      <c r="F173" s="41">
        <v>0.30519329071044921</v>
      </c>
      <c r="G173" s="47">
        <v>0.13411378871640189</v>
      </c>
      <c r="H173" s="49" t="s">
        <v>17</v>
      </c>
      <c r="I173" s="47">
        <v>0.51839999999999997</v>
      </c>
      <c r="J173" s="47">
        <v>0.16220000000000001</v>
      </c>
      <c r="K173" s="47">
        <v>0.1077</v>
      </c>
      <c r="L173" s="47">
        <v>0.629</v>
      </c>
      <c r="M173" s="47">
        <v>0.40700000000000003</v>
      </c>
      <c r="N173" s="47">
        <v>2.7297537342345999E-3</v>
      </c>
      <c r="O173" s="48">
        <v>0.24797999999999998</v>
      </c>
      <c r="P173" s="48">
        <v>2.9979249566608557</v>
      </c>
      <c r="Q173" s="48">
        <v>0.53428028106689507</v>
      </c>
    </row>
    <row r="174" spans="1:17" x14ac:dyDescent="0.25">
      <c r="A174" s="25">
        <v>20</v>
      </c>
      <c r="B174" s="5">
        <v>2</v>
      </c>
      <c r="C174" s="6">
        <v>2011</v>
      </c>
      <c r="D174" s="14" t="s">
        <v>39</v>
      </c>
      <c r="E174" s="8">
        <v>0.156</v>
      </c>
      <c r="F174" s="41">
        <v>0.29589220046997072</v>
      </c>
      <c r="G174" s="47">
        <v>0.14348858286376776</v>
      </c>
      <c r="H174" s="49" t="s">
        <v>17</v>
      </c>
      <c r="I174" s="47">
        <v>0.51480000000000004</v>
      </c>
      <c r="J174" s="47">
        <v>0.16</v>
      </c>
      <c r="K174" s="47">
        <v>0.10929999999999999</v>
      </c>
      <c r="L174" s="47">
        <v>0.626</v>
      </c>
      <c r="M174" s="47">
        <v>0.42700000000000005</v>
      </c>
      <c r="N174" s="47">
        <v>4.1096551086715E-3</v>
      </c>
      <c r="O174" s="48">
        <v>0.25309999999999999</v>
      </c>
      <c r="P174" s="48">
        <v>3.0136785255544427</v>
      </c>
      <c r="Q174" s="48">
        <v>0.55937938690185496</v>
      </c>
    </row>
    <row r="175" spans="1:17" x14ac:dyDescent="0.25">
      <c r="A175" s="25">
        <v>20</v>
      </c>
      <c r="B175" s="5">
        <v>3</v>
      </c>
      <c r="C175" s="6">
        <v>2012</v>
      </c>
      <c r="D175" s="14" t="s">
        <v>39</v>
      </c>
      <c r="E175" s="19">
        <v>0.156</v>
      </c>
      <c r="F175" s="41">
        <v>0.29937301635742186</v>
      </c>
      <c r="G175" s="47">
        <v>0.18568732698056578</v>
      </c>
      <c r="H175" s="49" t="s">
        <v>17</v>
      </c>
      <c r="I175" s="47">
        <v>0.51060000000000005</v>
      </c>
      <c r="J175" s="47">
        <v>0.15679999999999999</v>
      </c>
      <c r="K175" s="47">
        <v>0.1111</v>
      </c>
      <c r="L175" s="47">
        <v>0.60699999999999998</v>
      </c>
      <c r="M175" s="47">
        <v>0.41200000000000003</v>
      </c>
      <c r="N175" s="47">
        <v>5.57135557161302E-3</v>
      </c>
      <c r="O175" s="48">
        <v>0.25703999999999999</v>
      </c>
      <c r="P175" s="48">
        <v>3.0359858985433461</v>
      </c>
      <c r="Q175" s="48">
        <v>0.57920520782470708</v>
      </c>
    </row>
    <row r="176" spans="1:17" x14ac:dyDescent="0.25">
      <c r="A176" s="25">
        <v>20</v>
      </c>
      <c r="B176" s="5">
        <v>4</v>
      </c>
      <c r="C176" s="6">
        <v>2013</v>
      </c>
      <c r="D176" s="14" t="s">
        <v>39</v>
      </c>
      <c r="E176" s="10">
        <v>0.156</v>
      </c>
      <c r="F176" s="41">
        <v>0.28986068725585939</v>
      </c>
      <c r="G176" s="47">
        <v>0.19947300377766561</v>
      </c>
      <c r="H176" s="49" t="s">
        <v>17</v>
      </c>
      <c r="I176" s="47">
        <v>0.50670000000000004</v>
      </c>
      <c r="J176" s="47">
        <v>0.15409999999999999</v>
      </c>
      <c r="K176" s="47">
        <v>0.1128</v>
      </c>
      <c r="L176" s="47">
        <v>0.64</v>
      </c>
      <c r="M176" s="47">
        <v>0.379</v>
      </c>
      <c r="N176" s="47">
        <v>6.6971668261078298E-3</v>
      </c>
      <c r="O176" s="48">
        <v>0.26100999999999996</v>
      </c>
      <c r="P176" s="48">
        <v>3.0389987568583425</v>
      </c>
      <c r="Q176" s="48">
        <v>0.56528388977050803</v>
      </c>
    </row>
    <row r="177" spans="1:17" x14ac:dyDescent="0.25">
      <c r="A177" s="25">
        <v>20</v>
      </c>
      <c r="B177" s="5">
        <v>5</v>
      </c>
      <c r="C177" s="6">
        <v>2014</v>
      </c>
      <c r="D177" s="14" t="s">
        <v>39</v>
      </c>
      <c r="E177" s="10">
        <v>0.15565599999999999</v>
      </c>
      <c r="F177" s="41">
        <v>0.29591289520263669</v>
      </c>
      <c r="G177" s="47">
        <v>0.19331501843702534</v>
      </c>
      <c r="H177" s="49" t="s">
        <v>17</v>
      </c>
      <c r="I177" s="47">
        <v>0.50280000000000002</v>
      </c>
      <c r="J177" s="47">
        <v>0.15140000000000001</v>
      </c>
      <c r="K177" s="47">
        <v>0.1145</v>
      </c>
      <c r="L177" s="47">
        <v>0.61499999999999999</v>
      </c>
      <c r="M177" s="47">
        <v>0.27899999999999997</v>
      </c>
      <c r="N177" s="47">
        <v>7.3281702885901702E-3</v>
      </c>
      <c r="O177" s="48">
        <v>0.26501999999999998</v>
      </c>
      <c r="P177" s="48">
        <v>3.0414124004334382</v>
      </c>
      <c r="Q177" s="48">
        <v>0.57108187619488293</v>
      </c>
    </row>
    <row r="178" spans="1:17" x14ac:dyDescent="0.25">
      <c r="A178" s="25">
        <v>20</v>
      </c>
      <c r="B178" s="5">
        <v>6</v>
      </c>
      <c r="C178" s="6">
        <v>2015</v>
      </c>
      <c r="D178" s="14" t="s">
        <v>39</v>
      </c>
      <c r="E178" s="12">
        <v>0.15565590000000001</v>
      </c>
      <c r="F178" s="41">
        <v>0.29138349533081054</v>
      </c>
      <c r="G178" s="47">
        <v>0.18273636699677825</v>
      </c>
      <c r="H178" s="49" t="s">
        <v>17</v>
      </c>
      <c r="I178" s="47">
        <v>0.49890000000000001</v>
      </c>
      <c r="J178" s="47">
        <v>0.1487</v>
      </c>
      <c r="K178" s="47">
        <v>0.1162</v>
      </c>
      <c r="L178" s="47">
        <v>0.56700000000000006</v>
      </c>
      <c r="M178" s="47">
        <v>0.22899999999999998</v>
      </c>
      <c r="N178" s="47">
        <v>7.5871932699812803E-3</v>
      </c>
      <c r="O178" s="48">
        <v>0.26907999999999999</v>
      </c>
      <c r="P178" s="48">
        <v>3.0496825132662111</v>
      </c>
      <c r="Q178" s="48">
        <v>0.58589468877336004</v>
      </c>
    </row>
    <row r="179" spans="1:17" x14ac:dyDescent="0.25">
      <c r="A179" s="25">
        <v>20</v>
      </c>
      <c r="B179" s="5">
        <v>7</v>
      </c>
      <c r="C179" s="6">
        <v>2016</v>
      </c>
      <c r="D179" s="14" t="s">
        <v>39</v>
      </c>
      <c r="E179" s="10">
        <v>0.15565590000000001</v>
      </c>
      <c r="F179" s="41">
        <v>0.2901676368713379</v>
      </c>
      <c r="G179" s="47">
        <v>0.18212893461314836</v>
      </c>
      <c r="H179" s="49" t="s">
        <v>17</v>
      </c>
      <c r="I179" s="47">
        <v>0.49500000000000011</v>
      </c>
      <c r="J179" s="47">
        <v>0.14599999999999999</v>
      </c>
      <c r="K179" s="47">
        <v>0.1179</v>
      </c>
      <c r="L179" s="47">
        <v>0.55200000000000005</v>
      </c>
      <c r="M179" s="47">
        <v>0.19500000000000001</v>
      </c>
      <c r="N179" s="47">
        <v>7.7551420929944607E-3</v>
      </c>
      <c r="O179" s="48">
        <v>0.27317000000000002</v>
      </c>
      <c r="P179" s="48">
        <v>3.0597858045487563</v>
      </c>
      <c r="Q179" s="48">
        <v>0.56669620513915997</v>
      </c>
    </row>
    <row r="180" spans="1:17" x14ac:dyDescent="0.25">
      <c r="A180" s="25">
        <v>20</v>
      </c>
      <c r="B180" s="5">
        <v>8</v>
      </c>
      <c r="C180" s="6">
        <v>2017</v>
      </c>
      <c r="D180" s="14" t="s">
        <v>39</v>
      </c>
      <c r="E180" s="10">
        <v>0.14019426703453064</v>
      </c>
      <c r="F180" s="41">
        <v>0.30002214431762697</v>
      </c>
      <c r="G180" s="47">
        <v>0.20003840317769891</v>
      </c>
      <c r="H180" s="49" t="s">
        <v>17</v>
      </c>
      <c r="I180" s="47">
        <v>0.49109999999999998</v>
      </c>
      <c r="J180" s="47">
        <v>0.14330000000000001</v>
      </c>
      <c r="K180" s="47">
        <v>0.1197</v>
      </c>
      <c r="L180" s="47">
        <v>0.55200000000000005</v>
      </c>
      <c r="M180" s="47">
        <v>0.18600000000000003</v>
      </c>
      <c r="N180" s="47">
        <v>7.9158992833792304E-3</v>
      </c>
      <c r="O180" s="48">
        <v>0.27729999999999999</v>
      </c>
      <c r="P180" s="48">
        <v>3.0405317983670259</v>
      </c>
      <c r="Q180" s="48">
        <v>0.59820141204931199</v>
      </c>
    </row>
    <row r="181" spans="1:17" x14ac:dyDescent="0.25">
      <c r="A181" s="25">
        <v>20</v>
      </c>
      <c r="B181" s="5">
        <v>9</v>
      </c>
      <c r="C181" s="6">
        <v>2018</v>
      </c>
      <c r="D181" s="14" t="s">
        <v>39</v>
      </c>
      <c r="E181" s="10">
        <v>0.14616371691226959</v>
      </c>
      <c r="F181" s="41">
        <v>0.30045162200927733</v>
      </c>
      <c r="G181" s="47">
        <v>0.20131404545409196</v>
      </c>
      <c r="H181" s="49" t="s">
        <v>17</v>
      </c>
      <c r="I181" s="47">
        <v>0.49109999999999998</v>
      </c>
      <c r="J181" s="47">
        <v>0.14330000000000001</v>
      </c>
      <c r="K181" s="47">
        <v>0.1197</v>
      </c>
      <c r="L181" s="47">
        <v>0.51900000000000002</v>
      </c>
      <c r="M181" s="47">
        <v>0.17100000000000001</v>
      </c>
      <c r="N181" s="47">
        <v>7.9979301814149598E-3</v>
      </c>
      <c r="O181" s="48">
        <v>0.28153</v>
      </c>
      <c r="P181" s="48">
        <v>3.0287520202906553</v>
      </c>
      <c r="Q181" s="48">
        <v>0.58244880859423598</v>
      </c>
    </row>
    <row r="182" spans="1:17" x14ac:dyDescent="0.25">
      <c r="A182" s="25">
        <v>21</v>
      </c>
      <c r="B182" s="5">
        <v>1</v>
      </c>
      <c r="C182" s="6">
        <v>2010</v>
      </c>
      <c r="D182" s="13" t="s">
        <v>40</v>
      </c>
      <c r="E182" s="8">
        <v>0.48391640000000002</v>
      </c>
      <c r="F182" s="41">
        <v>0.43909290313720706</v>
      </c>
      <c r="G182" s="47">
        <v>9.3669851595338208E-2</v>
      </c>
      <c r="H182" s="49" t="s">
        <v>41</v>
      </c>
      <c r="I182" s="47">
        <v>0.4289</v>
      </c>
      <c r="J182" s="47">
        <v>0.1176</v>
      </c>
      <c r="K182" s="47">
        <v>0.1696</v>
      </c>
      <c r="L182" s="47">
        <v>0.33299999999999996</v>
      </c>
      <c r="M182" s="47">
        <v>7.6999999999999999E-2</v>
      </c>
      <c r="N182" s="47">
        <v>3.5901639066702302E-2</v>
      </c>
      <c r="O182" s="48">
        <v>0.47813</v>
      </c>
      <c r="P182" s="48">
        <v>2.7936390500396118</v>
      </c>
      <c r="Q182" s="48">
        <v>0.44597480773925802</v>
      </c>
    </row>
    <row r="183" spans="1:17" x14ac:dyDescent="0.25">
      <c r="A183" s="25">
        <v>21</v>
      </c>
      <c r="B183" s="5">
        <v>2</v>
      </c>
      <c r="C183" s="6">
        <v>2011</v>
      </c>
      <c r="D183" s="13" t="s">
        <v>40</v>
      </c>
      <c r="E183" s="8">
        <v>0.48399999999999999</v>
      </c>
      <c r="F183" s="41">
        <v>0.43758560180664063</v>
      </c>
      <c r="G183" s="47">
        <v>0.10374263636346213</v>
      </c>
      <c r="H183" s="49" t="s">
        <v>41</v>
      </c>
      <c r="I183" s="47">
        <v>0.42470000000000002</v>
      </c>
      <c r="J183" s="47">
        <v>0.1149</v>
      </c>
      <c r="K183" s="47">
        <v>0.17169999999999999</v>
      </c>
      <c r="L183" s="47">
        <v>0.26100000000000001</v>
      </c>
      <c r="M183" s="47">
        <v>8.1000000000000003E-2</v>
      </c>
      <c r="N183" s="47">
        <v>3.1888437358046605E-2</v>
      </c>
      <c r="O183" s="48">
        <v>0.48192999999999997</v>
      </c>
      <c r="P183" s="48">
        <v>2.8108430099588317</v>
      </c>
      <c r="Q183" s="48">
        <v>0.44597480773925802</v>
      </c>
    </row>
    <row r="184" spans="1:17" x14ac:dyDescent="0.25">
      <c r="A184" s="25">
        <v>21</v>
      </c>
      <c r="B184" s="5">
        <v>3</v>
      </c>
      <c r="C184" s="6">
        <v>2012</v>
      </c>
      <c r="D184" s="13" t="s">
        <v>40</v>
      </c>
      <c r="E184" s="9">
        <v>0.48399999999999999</v>
      </c>
      <c r="F184" s="41">
        <v>0.43452980041503908</v>
      </c>
      <c r="G184" s="47">
        <v>0.10046775620627825</v>
      </c>
      <c r="H184" s="49" t="s">
        <v>41</v>
      </c>
      <c r="I184" s="47">
        <v>0.42059999999999997</v>
      </c>
      <c r="J184" s="47">
        <v>0.11219999999999999</v>
      </c>
      <c r="K184" s="47">
        <v>0.17380000000000001</v>
      </c>
      <c r="L184" s="47">
        <v>0.32700000000000001</v>
      </c>
      <c r="M184" s="47">
        <v>0.11800000000000001</v>
      </c>
      <c r="N184" s="47">
        <v>2.9001035052303399E-2</v>
      </c>
      <c r="O184" s="48">
        <v>0.48582999999999998</v>
      </c>
      <c r="P184" s="48">
        <v>2.8288918093427129</v>
      </c>
      <c r="Q184" s="48">
        <v>0.44597480773925802</v>
      </c>
    </row>
    <row r="185" spans="1:17" x14ac:dyDescent="0.25">
      <c r="A185" s="25">
        <v>21</v>
      </c>
      <c r="B185" s="5">
        <v>4</v>
      </c>
      <c r="C185" s="6">
        <v>2013</v>
      </c>
      <c r="D185" s="13" t="s">
        <v>40</v>
      </c>
      <c r="E185" s="10">
        <v>0.48499999999999999</v>
      </c>
      <c r="F185" s="41">
        <v>0.43819858551025392</v>
      </c>
      <c r="G185" s="47">
        <v>0.11820774149306792</v>
      </c>
      <c r="H185" s="49" t="s">
        <v>41</v>
      </c>
      <c r="I185" s="47">
        <v>0.41639999999999999</v>
      </c>
      <c r="J185" s="47">
        <v>0.1095</v>
      </c>
      <c r="K185" s="47">
        <v>0.1759</v>
      </c>
      <c r="L185" s="47">
        <v>0.26500000000000001</v>
      </c>
      <c r="M185" s="47">
        <v>7.0999999999999994E-2</v>
      </c>
      <c r="N185" s="47">
        <v>2.6880199846431297E-2</v>
      </c>
      <c r="O185" s="48">
        <v>0.48985000000000001</v>
      </c>
      <c r="P185" s="48">
        <v>2.8555235654358291</v>
      </c>
      <c r="Q185" s="48">
        <v>0.44597480773925802</v>
      </c>
    </row>
    <row r="186" spans="1:17" x14ac:dyDescent="0.25">
      <c r="A186" s="25">
        <v>21</v>
      </c>
      <c r="B186" s="5">
        <v>5</v>
      </c>
      <c r="C186" s="6">
        <v>2014</v>
      </c>
      <c r="D186" s="13" t="s">
        <v>40</v>
      </c>
      <c r="E186" s="10">
        <v>0.48453200000000002</v>
      </c>
      <c r="F186" s="41">
        <v>0.4366334915161133</v>
      </c>
      <c r="G186" s="47">
        <v>0.11440448183392561</v>
      </c>
      <c r="H186" s="49" t="s">
        <v>41</v>
      </c>
      <c r="I186" s="47">
        <v>0.41220000000000001</v>
      </c>
      <c r="J186" s="47">
        <v>0.10680000000000001</v>
      </c>
      <c r="K186" s="47">
        <v>0.17799999999999999</v>
      </c>
      <c r="L186" s="47">
        <v>0.245</v>
      </c>
      <c r="M186" s="47">
        <v>7.6999999999999999E-2</v>
      </c>
      <c r="N186" s="47">
        <v>2.58315947137196E-2</v>
      </c>
      <c r="O186" s="48">
        <v>0.49396999999999996</v>
      </c>
      <c r="P186" s="48">
        <v>2.8495162715073432</v>
      </c>
      <c r="Q186" s="48">
        <v>0.371417808532715</v>
      </c>
    </row>
    <row r="187" spans="1:17" x14ac:dyDescent="0.25">
      <c r="A187" s="25">
        <v>21</v>
      </c>
      <c r="B187" s="5">
        <v>6</v>
      </c>
      <c r="C187" s="6">
        <v>2015</v>
      </c>
      <c r="D187" s="13" t="s">
        <v>40</v>
      </c>
      <c r="E187" s="12">
        <v>0.37425599999999998</v>
      </c>
      <c r="F187" s="41">
        <v>0.43800895690917968</v>
      </c>
      <c r="G187" s="47">
        <v>0.12744949427578561</v>
      </c>
      <c r="H187" s="49" t="s">
        <v>41</v>
      </c>
      <c r="I187" s="47">
        <v>0.41909999999999997</v>
      </c>
      <c r="J187" s="47">
        <v>0.1134</v>
      </c>
      <c r="K187" s="47">
        <v>0.17219999999999999</v>
      </c>
      <c r="L187" s="47">
        <v>0.29499999999999998</v>
      </c>
      <c r="M187" s="47">
        <v>7.0999999999999994E-2</v>
      </c>
      <c r="N187" s="47">
        <v>2.5527735098276501E-2</v>
      </c>
      <c r="O187" s="48">
        <v>0.49819999999999998</v>
      </c>
      <c r="P187" s="48">
        <v>2.8404762683122566</v>
      </c>
      <c r="Q187" s="48">
        <v>0.36623081207275399</v>
      </c>
    </row>
    <row r="188" spans="1:17" x14ac:dyDescent="0.25">
      <c r="A188" s="25">
        <v>21</v>
      </c>
      <c r="B188" s="5">
        <v>7</v>
      </c>
      <c r="C188" s="6">
        <v>2016</v>
      </c>
      <c r="D188" s="13" t="s">
        <v>40</v>
      </c>
      <c r="E188" s="10">
        <v>0.37425599999999998</v>
      </c>
      <c r="F188" s="41">
        <v>0.44471965789794921</v>
      </c>
      <c r="G188" s="47">
        <v>0.13020664595354864</v>
      </c>
      <c r="H188" s="49" t="s">
        <v>41</v>
      </c>
      <c r="I188" s="47">
        <v>0.4259</v>
      </c>
      <c r="J188" s="47">
        <v>0.12</v>
      </c>
      <c r="K188" s="47">
        <v>0.16650000000000001</v>
      </c>
      <c r="L188" s="47">
        <v>0.26200000000000001</v>
      </c>
      <c r="M188" s="47">
        <v>7.0999999999999994E-2</v>
      </c>
      <c r="N188" s="47">
        <v>2.52930549204178E-2</v>
      </c>
      <c r="O188" s="48">
        <v>0.50253999999999999</v>
      </c>
      <c r="P188" s="48">
        <v>2.8247969500136589</v>
      </c>
      <c r="Q188" s="48">
        <v>0.36882431030273449</v>
      </c>
    </row>
    <row r="189" spans="1:17" x14ac:dyDescent="0.25">
      <c r="A189" s="25">
        <v>21</v>
      </c>
      <c r="B189" s="5">
        <v>8</v>
      </c>
      <c r="C189" s="6">
        <v>2017</v>
      </c>
      <c r="D189" s="13" t="s">
        <v>40</v>
      </c>
      <c r="E189" s="10">
        <v>0.37425604462623596</v>
      </c>
      <c r="F189" s="41">
        <v>0.4452821350097656</v>
      </c>
      <c r="G189" s="47">
        <v>0.16752353794963085</v>
      </c>
      <c r="H189" s="49" t="s">
        <v>41</v>
      </c>
      <c r="I189" s="47">
        <v>0.4259</v>
      </c>
      <c r="J189" s="47">
        <v>0.12</v>
      </c>
      <c r="K189" s="47">
        <v>0.16650000000000001</v>
      </c>
      <c r="L189" s="47">
        <v>0.28100000000000003</v>
      </c>
      <c r="M189" s="47">
        <v>8.1000000000000003E-2</v>
      </c>
      <c r="N189" s="47">
        <v>2.4855591310014101E-2</v>
      </c>
      <c r="O189" s="48">
        <v>0.50697000000000003</v>
      </c>
      <c r="P189" s="48">
        <v>2.8268913507745252</v>
      </c>
      <c r="Q189" s="48">
        <v>0.36752756118774427</v>
      </c>
    </row>
    <row r="190" spans="1:17" x14ac:dyDescent="0.25">
      <c r="A190" s="25">
        <v>21</v>
      </c>
      <c r="B190" s="5">
        <v>9</v>
      </c>
      <c r="C190" s="6">
        <v>2018</v>
      </c>
      <c r="D190" s="13" t="s">
        <v>40</v>
      </c>
      <c r="E190" s="10">
        <v>0.330596923828125</v>
      </c>
      <c r="F190" s="41">
        <v>0.44585964202880857</v>
      </c>
      <c r="G190" s="47">
        <v>0.16976407905188493</v>
      </c>
      <c r="H190" s="49" t="s">
        <v>41</v>
      </c>
      <c r="I190" s="47">
        <v>0.4259</v>
      </c>
      <c r="J190" s="47">
        <v>0.12</v>
      </c>
      <c r="K190" s="47">
        <v>0.16650000000000001</v>
      </c>
      <c r="L190" s="47">
        <v>0.18100000000000002</v>
      </c>
      <c r="M190" s="47">
        <v>8.1000000000000003E-2</v>
      </c>
      <c r="N190" s="47">
        <v>2.4525869073840897E-2</v>
      </c>
      <c r="O190" s="48">
        <v>0.51151000000000002</v>
      </c>
      <c r="P190" s="48">
        <v>2.8233929965312674</v>
      </c>
      <c r="Q190" s="48">
        <v>0.36817593574523938</v>
      </c>
    </row>
    <row r="191" spans="1:17" x14ac:dyDescent="0.25">
      <c r="A191" s="25">
        <v>22</v>
      </c>
      <c r="B191" s="5">
        <v>1</v>
      </c>
      <c r="C191" s="6">
        <v>2010</v>
      </c>
      <c r="D191" s="17" t="s">
        <v>42</v>
      </c>
      <c r="E191" s="8">
        <v>0.4127711</v>
      </c>
      <c r="F191" s="41">
        <v>0.42652549743652346</v>
      </c>
      <c r="G191" s="47">
        <v>0.10868661613920409</v>
      </c>
      <c r="H191" s="49" t="s">
        <v>41</v>
      </c>
      <c r="I191" s="47">
        <v>0.51910000000000001</v>
      </c>
      <c r="J191" s="47">
        <v>0.186</v>
      </c>
      <c r="K191" s="47">
        <v>0.1338</v>
      </c>
      <c r="L191" s="47">
        <v>0.42399999999999999</v>
      </c>
      <c r="M191" s="47">
        <v>0.16699999999999998</v>
      </c>
      <c r="N191" s="47">
        <v>2.7926764939052703E-2</v>
      </c>
      <c r="O191" s="48">
        <v>0.31938</v>
      </c>
      <c r="P191" s="48">
        <v>2.6507126203082114</v>
      </c>
      <c r="Q191" s="48">
        <v>0.35270610809326203</v>
      </c>
    </row>
    <row r="192" spans="1:17" x14ac:dyDescent="0.25">
      <c r="A192" s="25">
        <v>22</v>
      </c>
      <c r="B192" s="5">
        <v>2</v>
      </c>
      <c r="C192" s="6">
        <v>2011</v>
      </c>
      <c r="D192" s="17" t="s">
        <v>42</v>
      </c>
      <c r="E192" s="8">
        <v>0.38500000000000001</v>
      </c>
      <c r="F192" s="41">
        <v>0.43337120056152345</v>
      </c>
      <c r="G192" s="47">
        <v>0.1018025378062075</v>
      </c>
      <c r="H192" s="49" t="s">
        <v>41</v>
      </c>
      <c r="I192" s="47">
        <v>0.51050000000000006</v>
      </c>
      <c r="J192" s="47">
        <v>0.1676</v>
      </c>
      <c r="K192" s="47">
        <v>0.13370000000000001</v>
      </c>
      <c r="L192" s="47">
        <v>0.38900000000000001</v>
      </c>
      <c r="M192" s="47">
        <v>0.14699999999999999</v>
      </c>
      <c r="N192" s="47">
        <v>2.7619033859618201E-2</v>
      </c>
      <c r="O192" s="48">
        <v>0.32579999999999998</v>
      </c>
      <c r="P192" s="48">
        <v>2.6451816295035506</v>
      </c>
      <c r="Q192" s="48">
        <v>0.35270610809326203</v>
      </c>
    </row>
    <row r="193" spans="1:17" x14ac:dyDescent="0.25">
      <c r="A193" s="25">
        <v>22</v>
      </c>
      <c r="B193" s="5">
        <v>3</v>
      </c>
      <c r="C193" s="6">
        <v>2012</v>
      </c>
      <c r="D193" s="17" t="s">
        <v>42</v>
      </c>
      <c r="E193" s="9">
        <v>0.38500000000000001</v>
      </c>
      <c r="F193" s="41">
        <v>0.43445541381835939</v>
      </c>
      <c r="G193" s="47">
        <v>0.10116693850456303</v>
      </c>
      <c r="H193" s="49" t="s">
        <v>41</v>
      </c>
      <c r="I193" s="47">
        <v>0.50260000000000005</v>
      </c>
      <c r="J193" s="47">
        <v>0.1502</v>
      </c>
      <c r="K193" s="47">
        <v>0.13339999999999999</v>
      </c>
      <c r="L193" s="47">
        <v>0.29399999999999998</v>
      </c>
      <c r="M193" s="47">
        <v>0.128</v>
      </c>
      <c r="N193" s="47">
        <v>2.7339541220152301E-2</v>
      </c>
      <c r="O193" s="48">
        <v>0.33226999999999995</v>
      </c>
      <c r="P193" s="48">
        <v>2.6460521290438717</v>
      </c>
      <c r="Q193" s="48">
        <v>0.36904154873223</v>
      </c>
    </row>
    <row r="194" spans="1:17" x14ac:dyDescent="0.25">
      <c r="A194" s="25">
        <v>22</v>
      </c>
      <c r="B194" s="5">
        <v>4</v>
      </c>
      <c r="C194" s="6">
        <v>2013</v>
      </c>
      <c r="D194" s="17" t="s">
        <v>42</v>
      </c>
      <c r="E194" s="10">
        <v>0.35699999999999998</v>
      </c>
      <c r="F194" s="41">
        <v>0.43754283905029295</v>
      </c>
      <c r="G194" s="47">
        <v>0.11083287940873887</v>
      </c>
      <c r="H194" s="49" t="s">
        <v>41</v>
      </c>
      <c r="I194" s="47">
        <v>0.50260000000000005</v>
      </c>
      <c r="J194" s="47">
        <v>0.1502</v>
      </c>
      <c r="K194" s="47">
        <v>0.13339999999999999</v>
      </c>
      <c r="L194" s="47">
        <v>0.23199999999999998</v>
      </c>
      <c r="M194" s="47">
        <v>0.12300000000000001</v>
      </c>
      <c r="N194" s="47">
        <v>2.71323855057439E-2</v>
      </c>
      <c r="O194" s="48">
        <v>0.33878000000000003</v>
      </c>
      <c r="P194" s="48">
        <v>2.6441180770251211</v>
      </c>
      <c r="Q194" s="48">
        <v>0.36087382841274601</v>
      </c>
    </row>
    <row r="195" spans="1:17" x14ac:dyDescent="0.25">
      <c r="A195" s="25">
        <v>22</v>
      </c>
      <c r="B195" s="5">
        <v>5</v>
      </c>
      <c r="C195" s="6">
        <v>2014</v>
      </c>
      <c r="D195" s="17" t="s">
        <v>42</v>
      </c>
      <c r="E195" s="10">
        <v>0.35657100000000003</v>
      </c>
      <c r="F195" s="41">
        <v>0.43690597534179687</v>
      </c>
      <c r="G195" s="47">
        <v>0.11667758860147458</v>
      </c>
      <c r="H195" s="49" t="s">
        <v>41</v>
      </c>
      <c r="I195" s="47">
        <v>0.50260000000000005</v>
      </c>
      <c r="J195" s="47">
        <v>0.1502</v>
      </c>
      <c r="K195" s="47">
        <v>0.13339999999999999</v>
      </c>
      <c r="L195" s="47">
        <v>0.21600000000000003</v>
      </c>
      <c r="M195" s="47">
        <v>8.199999999999999E-2</v>
      </c>
      <c r="N195" s="47">
        <v>2.7010122710379801E-2</v>
      </c>
      <c r="O195" s="48">
        <v>0.34533999999999998</v>
      </c>
      <c r="P195" s="48">
        <v>2.6467407078758778</v>
      </c>
      <c r="Q195" s="48">
        <v>0.37556498290155199</v>
      </c>
    </row>
    <row r="196" spans="1:17" x14ac:dyDescent="0.25">
      <c r="A196" s="25">
        <v>22</v>
      </c>
      <c r="B196" s="5">
        <v>6</v>
      </c>
      <c r="C196" s="6">
        <v>2015</v>
      </c>
      <c r="D196" s="17" t="s">
        <v>42</v>
      </c>
      <c r="E196" s="12">
        <v>0.35657119999999998</v>
      </c>
      <c r="F196" s="41">
        <v>0.43619281768798829</v>
      </c>
      <c r="G196" s="47">
        <v>0.12310592390058767</v>
      </c>
      <c r="H196" s="49" t="s">
        <v>41</v>
      </c>
      <c r="I196" s="47">
        <v>0.50260000000000005</v>
      </c>
      <c r="J196" s="47">
        <v>0.1502</v>
      </c>
      <c r="K196" s="47">
        <v>0.13339999999999999</v>
      </c>
      <c r="L196" s="47">
        <v>0.2</v>
      </c>
      <c r="M196" s="47">
        <v>7.5999999999999998E-2</v>
      </c>
      <c r="N196" s="47">
        <v>2.6941379797867603E-2</v>
      </c>
      <c r="O196" s="48">
        <v>0.35192999999999997</v>
      </c>
      <c r="P196" s="48">
        <v>2.6486722681567256</v>
      </c>
      <c r="Q196" s="48">
        <v>0.37906890869140597</v>
      </c>
    </row>
    <row r="197" spans="1:17" x14ac:dyDescent="0.25">
      <c r="A197" s="25">
        <v>22</v>
      </c>
      <c r="B197" s="5">
        <v>7</v>
      </c>
      <c r="C197" s="6">
        <v>2016</v>
      </c>
      <c r="D197" s="17" t="s">
        <v>42</v>
      </c>
      <c r="E197" s="10">
        <v>0.35657119999999998</v>
      </c>
      <c r="F197" s="41">
        <v>0.42980533599853515</v>
      </c>
      <c r="G197" s="47">
        <v>0.11887814025657577</v>
      </c>
      <c r="H197" s="49" t="s">
        <v>41</v>
      </c>
      <c r="I197" s="47">
        <v>0.50260000000000005</v>
      </c>
      <c r="J197" s="47">
        <v>0.1502</v>
      </c>
      <c r="K197" s="47">
        <v>0.13339999999999999</v>
      </c>
      <c r="L197" s="47">
        <v>0.16200000000000001</v>
      </c>
      <c r="M197" s="47">
        <v>9.5000000000000001E-2</v>
      </c>
      <c r="N197" s="47">
        <v>2.6881766536503104E-2</v>
      </c>
      <c r="O197" s="48">
        <v>0.35855999999999999</v>
      </c>
      <c r="P197" s="48">
        <v>2.6543273096164239</v>
      </c>
      <c r="Q197" s="48">
        <v>0.37817428588867202</v>
      </c>
    </row>
    <row r="198" spans="1:17" x14ac:dyDescent="0.25">
      <c r="A198" s="25">
        <v>22</v>
      </c>
      <c r="B198" s="5">
        <v>8</v>
      </c>
      <c r="C198" s="6">
        <v>2017</v>
      </c>
      <c r="D198" s="17" t="s">
        <v>42</v>
      </c>
      <c r="E198" s="10">
        <v>0.35657116770744324</v>
      </c>
      <c r="F198" s="41">
        <v>0.42716354370117188</v>
      </c>
      <c r="G198" s="47">
        <v>0.12706122619847007</v>
      </c>
      <c r="H198" s="49" t="s">
        <v>41</v>
      </c>
      <c r="I198" s="47">
        <v>0.50260000000000005</v>
      </c>
      <c r="J198" s="47">
        <v>0.1502</v>
      </c>
      <c r="K198" s="47">
        <v>0.13339999999999999</v>
      </c>
      <c r="L198" s="47">
        <v>0.13300000000000001</v>
      </c>
      <c r="M198" s="47">
        <v>0.105</v>
      </c>
      <c r="N198" s="47">
        <v>2.6798099972544901E-2</v>
      </c>
      <c r="O198" s="48">
        <v>0.36521999999999999</v>
      </c>
      <c r="P198" s="48">
        <v>2.6597753970076585</v>
      </c>
      <c r="Q198" s="48">
        <v>0.36299888347628001</v>
      </c>
    </row>
    <row r="199" spans="1:17" x14ac:dyDescent="0.25">
      <c r="A199" s="25">
        <v>22</v>
      </c>
      <c r="B199" s="5">
        <v>9</v>
      </c>
      <c r="C199" s="6">
        <v>2018</v>
      </c>
      <c r="D199" s="17" t="s">
        <v>42</v>
      </c>
      <c r="E199" s="10">
        <v>0.45304659008979797</v>
      </c>
      <c r="F199" s="41">
        <v>0.41695899963378907</v>
      </c>
      <c r="G199" s="47">
        <v>0.12966876898901292</v>
      </c>
      <c r="H199" s="49" t="s">
        <v>41</v>
      </c>
      <c r="I199" s="47">
        <v>0.50260000000000005</v>
      </c>
      <c r="J199" s="47">
        <v>0.1502</v>
      </c>
      <c r="K199" s="47">
        <v>0.13339999999999999</v>
      </c>
      <c r="L199" s="47">
        <v>0.14800000000000002</v>
      </c>
      <c r="M199" s="47">
        <v>9.5000000000000001E-2</v>
      </c>
      <c r="N199" s="47">
        <v>2.6695172266841701E-2</v>
      </c>
      <c r="O199" s="48">
        <v>0.37191000000000002</v>
      </c>
      <c r="P199" s="48">
        <v>2.6621251589641686</v>
      </c>
      <c r="Q199" s="48">
        <v>0.359789156556509</v>
      </c>
    </row>
    <row r="200" spans="1:17" x14ac:dyDescent="0.25">
      <c r="A200" s="25">
        <v>23</v>
      </c>
      <c r="B200" s="5">
        <v>1</v>
      </c>
      <c r="C200" s="6">
        <v>2010</v>
      </c>
      <c r="D200" s="11" t="s">
        <v>43</v>
      </c>
      <c r="E200" s="8">
        <v>0.38436310000000001</v>
      </c>
      <c r="F200" s="41">
        <v>0.38325378417968747</v>
      </c>
      <c r="G200" s="47">
        <v>9.5029934420259241E-2</v>
      </c>
      <c r="H200" s="49" t="s">
        <v>41</v>
      </c>
      <c r="I200" s="47">
        <v>0.55030000000000001</v>
      </c>
      <c r="J200" s="47">
        <v>0.21729999999999999</v>
      </c>
      <c r="K200" s="47">
        <v>0.11940000000000001</v>
      </c>
      <c r="L200" s="47">
        <v>0.38600000000000001</v>
      </c>
      <c r="M200" s="47">
        <v>0.39200000000000002</v>
      </c>
      <c r="N200" s="47">
        <v>2.8706540803132497E-2</v>
      </c>
      <c r="O200" s="48">
        <v>0.15543999999999999</v>
      </c>
      <c r="P200" s="48">
        <v>2.7059394939444417</v>
      </c>
      <c r="Q200" s="48">
        <v>0.34837848663330101</v>
      </c>
    </row>
    <row r="201" spans="1:17" x14ac:dyDescent="0.25">
      <c r="A201" s="25">
        <v>23</v>
      </c>
      <c r="B201" s="5">
        <v>2</v>
      </c>
      <c r="C201" s="6">
        <v>2011</v>
      </c>
      <c r="D201" s="11" t="s">
        <v>43</v>
      </c>
      <c r="E201" s="8">
        <v>0.38400000000000001</v>
      </c>
      <c r="F201" s="41">
        <v>0.38180892944335937</v>
      </c>
      <c r="G201" s="47">
        <v>9.5736141019891891E-2</v>
      </c>
      <c r="H201" s="49" t="s">
        <v>41</v>
      </c>
      <c r="I201" s="47">
        <v>0.55510000000000004</v>
      </c>
      <c r="J201" s="47">
        <v>0.23300000000000001</v>
      </c>
      <c r="K201" s="47">
        <v>0.11990000000000001</v>
      </c>
      <c r="L201" s="47">
        <v>0.41200000000000003</v>
      </c>
      <c r="M201" s="47">
        <v>0.40299999999999997</v>
      </c>
      <c r="N201" s="47">
        <v>2.8644959655739401E-2</v>
      </c>
      <c r="O201" s="48">
        <v>0.15672</v>
      </c>
      <c r="P201" s="48">
        <v>2.7141903410962529</v>
      </c>
      <c r="Q201" s="48">
        <v>0.358270301818848</v>
      </c>
    </row>
    <row r="202" spans="1:17" x14ac:dyDescent="0.25">
      <c r="A202" s="25">
        <v>23</v>
      </c>
      <c r="B202" s="5">
        <v>3</v>
      </c>
      <c r="C202" s="6">
        <v>2012</v>
      </c>
      <c r="D202" s="11" t="s">
        <v>43</v>
      </c>
      <c r="E202" s="9">
        <v>0.38400000000000001</v>
      </c>
      <c r="F202" s="41">
        <v>0.38488941192626952</v>
      </c>
      <c r="G202" s="47">
        <v>0.10014673658556211</v>
      </c>
      <c r="H202" s="49" t="s">
        <v>41</v>
      </c>
      <c r="I202" s="47">
        <v>0.56200000000000006</v>
      </c>
      <c r="J202" s="47">
        <v>0.25240000000000001</v>
      </c>
      <c r="K202" s="47">
        <v>0.1198</v>
      </c>
      <c r="L202" s="47">
        <v>0.38900000000000001</v>
      </c>
      <c r="M202" s="47">
        <v>0.379</v>
      </c>
      <c r="N202" s="47">
        <v>2.8586844875360402E-2</v>
      </c>
      <c r="O202" s="48">
        <v>0.15811999999999998</v>
      </c>
      <c r="P202" s="48">
        <v>2.7098974683719739</v>
      </c>
      <c r="Q202" s="48">
        <v>0.357291717529297</v>
      </c>
    </row>
    <row r="203" spans="1:17" x14ac:dyDescent="0.25">
      <c r="A203" s="25">
        <v>23</v>
      </c>
      <c r="B203" s="5">
        <v>4</v>
      </c>
      <c r="C203" s="6">
        <v>2013</v>
      </c>
      <c r="D203" s="11" t="s">
        <v>43</v>
      </c>
      <c r="E203" s="10">
        <v>0.33400000000000002</v>
      </c>
      <c r="F203" s="41">
        <v>0.38524658203125001</v>
      </c>
      <c r="G203" s="47">
        <v>8.5570860844231836E-2</v>
      </c>
      <c r="H203" s="49" t="s">
        <v>41</v>
      </c>
      <c r="I203" s="47">
        <v>0.56440000000000001</v>
      </c>
      <c r="J203" s="47">
        <v>0.26390000000000002</v>
      </c>
      <c r="K203" s="47">
        <v>0.12089999999999999</v>
      </c>
      <c r="L203" s="47">
        <v>0.32700000000000001</v>
      </c>
      <c r="M203" s="47">
        <v>0.36</v>
      </c>
      <c r="N203" s="47">
        <v>2.8384987806273999E-2</v>
      </c>
      <c r="O203" s="48">
        <v>0.15966</v>
      </c>
      <c r="P203" s="48">
        <v>2.7204550569161881</v>
      </c>
      <c r="Q203" s="48">
        <v>0.38590881347656203</v>
      </c>
    </row>
    <row r="204" spans="1:17" x14ac:dyDescent="0.25">
      <c r="A204" s="25">
        <v>23</v>
      </c>
      <c r="B204" s="5">
        <v>5</v>
      </c>
      <c r="C204" s="6">
        <v>2014</v>
      </c>
      <c r="D204" s="11" t="s">
        <v>43</v>
      </c>
      <c r="E204" s="10">
        <v>0.33400000000000002</v>
      </c>
      <c r="F204" s="41">
        <v>0.37747814178466799</v>
      </c>
      <c r="G204" s="47">
        <v>7.8359858101628418E-2</v>
      </c>
      <c r="H204" s="49" t="s">
        <v>41</v>
      </c>
      <c r="I204" s="47">
        <v>0.56920000000000004</v>
      </c>
      <c r="J204" s="47">
        <v>0.27979999999999999</v>
      </c>
      <c r="K204" s="47">
        <v>0.12130000000000001</v>
      </c>
      <c r="L204" s="47">
        <v>0.25</v>
      </c>
      <c r="M204" s="47">
        <v>0.26</v>
      </c>
      <c r="N204" s="47">
        <v>2.80304251760847E-2</v>
      </c>
      <c r="O204" s="48">
        <v>0.16132000000000002</v>
      </c>
      <c r="P204" s="48">
        <v>2.7320418402840265</v>
      </c>
      <c r="Q204" s="48">
        <v>0.40077430725097701</v>
      </c>
    </row>
    <row r="205" spans="1:17" x14ac:dyDescent="0.25">
      <c r="A205" s="25">
        <v>23</v>
      </c>
      <c r="B205" s="5">
        <v>6</v>
      </c>
      <c r="C205" s="6">
        <v>2015</v>
      </c>
      <c r="D205" s="11" t="s">
        <v>43</v>
      </c>
      <c r="E205" s="12">
        <v>0.3339995</v>
      </c>
      <c r="F205" s="41">
        <v>0.37923213958740232</v>
      </c>
      <c r="G205" s="47">
        <v>9.1724038585019013E-2</v>
      </c>
      <c r="H205" s="49" t="s">
        <v>41</v>
      </c>
      <c r="I205" s="47">
        <v>0.58040000000000003</v>
      </c>
      <c r="J205" s="47">
        <v>0.30599999999999999</v>
      </c>
      <c r="K205" s="47">
        <v>0.12</v>
      </c>
      <c r="L205" s="47">
        <v>0.23800000000000002</v>
      </c>
      <c r="M205" s="47">
        <v>0.252</v>
      </c>
      <c r="N205" s="47">
        <v>2.7594122549640599E-2</v>
      </c>
      <c r="O205" s="48">
        <v>0.16313</v>
      </c>
      <c r="P205" s="48">
        <v>2.7320762575570567</v>
      </c>
      <c r="Q205" s="48">
        <v>0.40234371185302698</v>
      </c>
    </row>
    <row r="206" spans="1:17" x14ac:dyDescent="0.25">
      <c r="A206" s="25">
        <v>23</v>
      </c>
      <c r="B206" s="5">
        <v>7</v>
      </c>
      <c r="C206" s="6">
        <v>2016</v>
      </c>
      <c r="D206" s="11" t="s">
        <v>43</v>
      </c>
      <c r="E206" s="10">
        <v>0.26533859999999998</v>
      </c>
      <c r="F206" s="41">
        <v>0.37911605834960938</v>
      </c>
      <c r="G206" s="47">
        <v>8.009309219419064E-2</v>
      </c>
      <c r="H206" s="49" t="s">
        <v>41</v>
      </c>
      <c r="I206" s="47">
        <v>0.57840000000000003</v>
      </c>
      <c r="J206" s="47">
        <v>0.31059999999999999</v>
      </c>
      <c r="K206" s="47">
        <v>0.12239999999999999</v>
      </c>
      <c r="L206" s="47">
        <v>0.23800000000000002</v>
      </c>
      <c r="M206" s="47">
        <v>0.21899999999999997</v>
      </c>
      <c r="N206" s="47">
        <v>2.7096823696290299E-2</v>
      </c>
      <c r="O206" s="48">
        <v>0.16506000000000001</v>
      </c>
      <c r="P206" s="48">
        <v>2.7309614383041056</v>
      </c>
      <c r="Q206" s="48">
        <v>0.38208778381347697</v>
      </c>
    </row>
    <row r="207" spans="1:17" x14ac:dyDescent="0.25">
      <c r="A207" s="25">
        <v>23</v>
      </c>
      <c r="B207" s="5">
        <v>8</v>
      </c>
      <c r="C207" s="6">
        <v>2017</v>
      </c>
      <c r="D207" s="11" t="s">
        <v>43</v>
      </c>
      <c r="E207" s="10">
        <v>0.25063002109527588</v>
      </c>
      <c r="F207" s="41">
        <v>0.37568508148193358</v>
      </c>
      <c r="G207" s="47">
        <v>7.4783509418313424E-2</v>
      </c>
      <c r="H207" s="49" t="s">
        <v>41</v>
      </c>
      <c r="I207" s="47">
        <v>0.5494</v>
      </c>
      <c r="J207" s="47">
        <v>0.26440000000000002</v>
      </c>
      <c r="K207" s="47">
        <v>0.1305</v>
      </c>
      <c r="L207" s="47">
        <v>0.27600000000000002</v>
      </c>
      <c r="M207" s="47">
        <v>0.23800000000000002</v>
      </c>
      <c r="N207" s="47">
        <v>2.66644645704802E-2</v>
      </c>
      <c r="O207" s="48">
        <v>0.16713999999999998</v>
      </c>
      <c r="P207" s="48">
        <v>2.7362336943805952</v>
      </c>
      <c r="Q207" s="48">
        <v>0.38479881286621098</v>
      </c>
    </row>
    <row r="208" spans="1:17" x14ac:dyDescent="0.25">
      <c r="A208" s="25">
        <v>23</v>
      </c>
      <c r="B208" s="5">
        <v>9</v>
      </c>
      <c r="C208" s="6">
        <v>2018</v>
      </c>
      <c r="D208" s="11" t="s">
        <v>43</v>
      </c>
      <c r="E208" s="10">
        <v>0.24366803467273712</v>
      </c>
      <c r="F208" s="41">
        <v>0.37595520019531248</v>
      </c>
      <c r="G208" s="47">
        <v>6.817648644292916E-2</v>
      </c>
      <c r="H208" s="49" t="s">
        <v>41</v>
      </c>
      <c r="I208" s="47">
        <v>0.51150000000000007</v>
      </c>
      <c r="J208" s="47">
        <v>0.20369999999999999</v>
      </c>
      <c r="K208" s="47">
        <v>0.14130000000000001</v>
      </c>
      <c r="L208" s="47">
        <v>0.248</v>
      </c>
      <c r="M208" s="47">
        <v>0.20499999999999999</v>
      </c>
      <c r="N208" s="47">
        <v>2.6417452878788897E-2</v>
      </c>
      <c r="O208" s="48">
        <v>0.16937000000000002</v>
      </c>
      <c r="P208" s="48">
        <v>2.7431402149225188</v>
      </c>
      <c r="Q208" s="48">
        <v>0.38456790924072304</v>
      </c>
    </row>
    <row r="209" spans="1:17" x14ac:dyDescent="0.25">
      <c r="A209" s="25">
        <v>24</v>
      </c>
      <c r="B209" s="5">
        <v>1</v>
      </c>
      <c r="C209" s="6">
        <v>2010</v>
      </c>
      <c r="D209" s="15" t="s">
        <v>44</v>
      </c>
      <c r="E209" s="8">
        <v>0.56392039999999999</v>
      </c>
      <c r="F209" s="41">
        <v>0.39602962493896482</v>
      </c>
      <c r="G209" s="47">
        <v>0.18008268052254639</v>
      </c>
      <c r="H209" s="49" t="s">
        <v>41</v>
      </c>
      <c r="I209" s="47">
        <v>0.4093</v>
      </c>
      <c r="J209" s="47">
        <v>9.7699999999999995E-2</v>
      </c>
      <c r="K209" s="47">
        <v>0.1757</v>
      </c>
      <c r="L209" s="47">
        <v>0.28600000000000003</v>
      </c>
      <c r="M209" s="47">
        <v>0.23399999999999999</v>
      </c>
      <c r="N209" s="47">
        <v>3.1586338198612701E-2</v>
      </c>
      <c r="O209" s="48">
        <v>0.35999000000000003</v>
      </c>
      <c r="P209" s="48">
        <v>2.839122280662814</v>
      </c>
      <c r="Q209" s="48">
        <v>0.35099899291992204</v>
      </c>
    </row>
    <row r="210" spans="1:17" x14ac:dyDescent="0.25">
      <c r="A210" s="25">
        <v>24</v>
      </c>
      <c r="B210" s="5">
        <v>2</v>
      </c>
      <c r="C210" s="6">
        <v>2011</v>
      </c>
      <c r="D210" s="15" t="s">
        <v>44</v>
      </c>
      <c r="E210" s="8">
        <v>0.56399999999999995</v>
      </c>
      <c r="F210" s="41">
        <v>0.40357227325439454</v>
      </c>
      <c r="G210" s="47">
        <v>0.1841144657306967</v>
      </c>
      <c r="H210" s="49" t="s">
        <v>41</v>
      </c>
      <c r="I210" s="47">
        <v>0.41289999999999999</v>
      </c>
      <c r="J210" s="47">
        <v>0.1002</v>
      </c>
      <c r="K210" s="47">
        <v>0.17399999999999999</v>
      </c>
      <c r="L210" s="47">
        <v>0.28399999999999997</v>
      </c>
      <c r="M210" s="47">
        <v>0.23699999999999999</v>
      </c>
      <c r="N210" s="47">
        <v>3.04461310886847E-2</v>
      </c>
      <c r="O210" s="48">
        <v>0.36798999999999998</v>
      </c>
      <c r="P210" s="48">
        <v>2.8388186398419997</v>
      </c>
      <c r="Q210" s="48">
        <v>0.37795330047607401</v>
      </c>
    </row>
    <row r="211" spans="1:17" x14ac:dyDescent="0.25">
      <c r="A211" s="25">
        <v>24</v>
      </c>
      <c r="B211" s="5">
        <v>3</v>
      </c>
      <c r="C211" s="6">
        <v>2012</v>
      </c>
      <c r="D211" s="15" t="s">
        <v>44</v>
      </c>
      <c r="E211" s="9">
        <v>0.56399999999999995</v>
      </c>
      <c r="F211" s="41">
        <v>0.40167179107666018</v>
      </c>
      <c r="G211" s="47">
        <v>0.19558049332331293</v>
      </c>
      <c r="H211" s="49" t="s">
        <v>41</v>
      </c>
      <c r="I211" s="47">
        <v>0.41660000000000003</v>
      </c>
      <c r="J211" s="47">
        <v>0.1026</v>
      </c>
      <c r="K211" s="47">
        <v>0.17219999999999999</v>
      </c>
      <c r="L211" s="47">
        <v>0.223</v>
      </c>
      <c r="M211" s="47">
        <v>0.18</v>
      </c>
      <c r="N211" s="47">
        <v>2.9525085217445398E-2</v>
      </c>
      <c r="O211" s="48">
        <v>0.37598999999999999</v>
      </c>
      <c r="P211" s="48">
        <v>2.8224881154995973</v>
      </c>
      <c r="Q211" s="48">
        <v>0.39900859832763702</v>
      </c>
    </row>
    <row r="212" spans="1:17" x14ac:dyDescent="0.25">
      <c r="A212" s="25">
        <v>24</v>
      </c>
      <c r="B212" s="5">
        <v>4</v>
      </c>
      <c r="C212" s="6">
        <v>2013</v>
      </c>
      <c r="D212" s="15" t="s">
        <v>44</v>
      </c>
      <c r="E212" s="10">
        <v>0.55800000000000005</v>
      </c>
      <c r="F212" s="41">
        <v>0.40402950286865236</v>
      </c>
      <c r="G212" s="47">
        <v>0.20907726063692253</v>
      </c>
      <c r="H212" s="49" t="s">
        <v>41</v>
      </c>
      <c r="I212" s="47">
        <v>0.42020000000000002</v>
      </c>
      <c r="J212" s="47">
        <v>0.1051</v>
      </c>
      <c r="K212" s="47">
        <v>0.17050000000000001</v>
      </c>
      <c r="L212" s="47">
        <v>0.223</v>
      </c>
      <c r="M212" s="47">
        <v>0.20899999999999999</v>
      </c>
      <c r="N212" s="47">
        <v>2.9010451696402501E-2</v>
      </c>
      <c r="O212" s="48">
        <v>0.38398000000000004</v>
      </c>
      <c r="P212" s="48">
        <v>2.8196580145533527</v>
      </c>
      <c r="Q212" s="48">
        <v>0.38848094940185546</v>
      </c>
    </row>
    <row r="213" spans="1:17" x14ac:dyDescent="0.25">
      <c r="A213" s="25">
        <v>24</v>
      </c>
      <c r="B213" s="5">
        <v>5</v>
      </c>
      <c r="C213" s="6">
        <v>2014</v>
      </c>
      <c r="D213" s="15" t="s">
        <v>44</v>
      </c>
      <c r="E213" s="10">
        <v>0.55782100000000001</v>
      </c>
      <c r="F213" s="41">
        <v>0.40183143615722655</v>
      </c>
      <c r="G213" s="47">
        <v>0.2206950993685097</v>
      </c>
      <c r="H213" s="49" t="s">
        <v>41</v>
      </c>
      <c r="I213" s="47">
        <v>0.4239</v>
      </c>
      <c r="J213" s="47">
        <v>0.1076</v>
      </c>
      <c r="K213" s="47">
        <v>0.16869999999999999</v>
      </c>
      <c r="L213" s="47">
        <v>0.26400000000000001</v>
      </c>
      <c r="M213" s="47">
        <v>0.14400000000000002</v>
      </c>
      <c r="N213" s="47">
        <v>2.9019411593875701E-2</v>
      </c>
      <c r="O213" s="48">
        <v>0.39195999999999998</v>
      </c>
      <c r="P213" s="48">
        <v>2.8356588149263264</v>
      </c>
      <c r="Q213" s="48">
        <v>0.40466098785400395</v>
      </c>
    </row>
    <row r="214" spans="1:17" x14ac:dyDescent="0.25">
      <c r="A214" s="25">
        <v>24</v>
      </c>
      <c r="B214" s="5">
        <v>6</v>
      </c>
      <c r="C214" s="6">
        <v>2015</v>
      </c>
      <c r="D214" s="15" t="s">
        <v>44</v>
      </c>
      <c r="E214" s="12">
        <v>0.45710709999999999</v>
      </c>
      <c r="F214" s="41">
        <v>0.40697898864746096</v>
      </c>
      <c r="G214" s="47">
        <v>0.24991636630288125</v>
      </c>
      <c r="H214" s="49" t="s">
        <v>41</v>
      </c>
      <c r="I214" s="47">
        <v>0.42749999999999999</v>
      </c>
      <c r="J214" s="47">
        <v>0.1101</v>
      </c>
      <c r="K214" s="47">
        <v>0.16700000000000001</v>
      </c>
      <c r="L214" s="47">
        <v>0.27600000000000002</v>
      </c>
      <c r="M214" s="47">
        <v>0.17600000000000002</v>
      </c>
      <c r="N214" s="47">
        <v>2.9359989771765196E-2</v>
      </c>
      <c r="O214" s="48">
        <v>0.39990999999999999</v>
      </c>
      <c r="P214" s="48">
        <v>2.8480792336345084</v>
      </c>
      <c r="Q214" s="48">
        <v>0.424749717712402</v>
      </c>
    </row>
    <row r="215" spans="1:17" x14ac:dyDescent="0.25">
      <c r="A215" s="25">
        <v>24</v>
      </c>
      <c r="B215" s="5">
        <v>7</v>
      </c>
      <c r="C215" s="6">
        <v>2016</v>
      </c>
      <c r="D215" s="15" t="s">
        <v>44</v>
      </c>
      <c r="E215" s="10">
        <v>0.45710709999999999</v>
      </c>
      <c r="F215" s="41">
        <v>0.40432056427001956</v>
      </c>
      <c r="G215" s="47">
        <v>0.26426416583057577</v>
      </c>
      <c r="H215" s="49" t="s">
        <v>41</v>
      </c>
      <c r="I215" s="47">
        <v>0.43109999999999998</v>
      </c>
      <c r="J215" s="47">
        <v>0.1125</v>
      </c>
      <c r="K215" s="47">
        <v>0.16520000000000001</v>
      </c>
      <c r="L215" s="47">
        <v>0.29499999999999998</v>
      </c>
      <c r="M215" s="47">
        <v>0.14300000000000002</v>
      </c>
      <c r="N215" s="47">
        <v>2.9754354475090099E-2</v>
      </c>
      <c r="O215" s="48">
        <v>0.40783000000000003</v>
      </c>
      <c r="P215" s="48">
        <v>2.859025367006502</v>
      </c>
      <c r="Q215" s="48">
        <v>0.40115730285644502</v>
      </c>
    </row>
    <row r="216" spans="1:17" x14ac:dyDescent="0.25">
      <c r="A216" s="25">
        <v>24</v>
      </c>
      <c r="B216" s="5">
        <v>8</v>
      </c>
      <c r="C216" s="6">
        <v>2017</v>
      </c>
      <c r="D216" s="15" t="s">
        <v>44</v>
      </c>
      <c r="E216" s="10">
        <v>0.45710709691047668</v>
      </c>
      <c r="F216" s="41">
        <v>0.39955402374267579</v>
      </c>
      <c r="G216" s="47">
        <v>0.25948223942032039</v>
      </c>
      <c r="H216" s="49" t="s">
        <v>41</v>
      </c>
      <c r="I216" s="47">
        <v>0.43480000000000002</v>
      </c>
      <c r="J216" s="47">
        <v>0.115</v>
      </c>
      <c r="K216" s="47">
        <v>0.16350000000000001</v>
      </c>
      <c r="L216" s="47">
        <v>0.28999999999999998</v>
      </c>
      <c r="M216" s="47">
        <v>0.157</v>
      </c>
      <c r="N216" s="47">
        <v>2.99919867073212E-2</v>
      </c>
      <c r="O216" s="48">
        <v>0.41572000000000003</v>
      </c>
      <c r="P216" s="48">
        <v>2.8676299052701717</v>
      </c>
      <c r="Q216" s="48">
        <v>0.41210689544677698</v>
      </c>
    </row>
    <row r="217" spans="1:17" x14ac:dyDescent="0.25">
      <c r="A217" s="25">
        <v>24</v>
      </c>
      <c r="B217" s="5">
        <v>9</v>
      </c>
      <c r="C217" s="6">
        <v>2018</v>
      </c>
      <c r="D217" s="15" t="s">
        <v>44</v>
      </c>
      <c r="E217" s="10">
        <v>0.45711445808410645</v>
      </c>
      <c r="F217" s="41">
        <v>0.39582740783691406</v>
      </c>
      <c r="G217" s="47">
        <v>0.2558980468553112</v>
      </c>
      <c r="H217" s="49" t="s">
        <v>41</v>
      </c>
      <c r="I217" s="47">
        <v>0.43840000000000001</v>
      </c>
      <c r="J217" s="47">
        <v>0.11749999999999999</v>
      </c>
      <c r="K217" s="47">
        <v>0.16170000000000001</v>
      </c>
      <c r="L217" s="47">
        <v>0.26700000000000002</v>
      </c>
      <c r="M217" s="47">
        <v>0.13800000000000001</v>
      </c>
      <c r="N217" s="47">
        <v>3.00806522834665E-2</v>
      </c>
      <c r="O217" s="48">
        <v>0.42355999999999999</v>
      </c>
      <c r="P217" s="48">
        <v>2.8741958199974706</v>
      </c>
      <c r="Q217" s="48">
        <v>0.39573688507080101</v>
      </c>
    </row>
    <row r="218" spans="1:17" x14ac:dyDescent="0.25">
      <c r="A218" s="25">
        <v>25</v>
      </c>
      <c r="B218" s="5">
        <v>1</v>
      </c>
      <c r="C218" s="6">
        <v>2010</v>
      </c>
      <c r="D218" s="30" t="s">
        <v>45</v>
      </c>
      <c r="E218" s="8">
        <v>0.35201749999999998</v>
      </c>
      <c r="F218" s="41">
        <v>0.34218124389648436</v>
      </c>
      <c r="G218" s="47">
        <v>0.18275403071728052</v>
      </c>
      <c r="H218" s="49" t="s">
        <v>17</v>
      </c>
      <c r="I218" s="47">
        <v>0.40600000000000003</v>
      </c>
      <c r="J218" s="47">
        <v>0.1028</v>
      </c>
      <c r="K218" s="47">
        <v>0.1691</v>
      </c>
      <c r="L218" s="47">
        <v>0.25700000000000001</v>
      </c>
      <c r="M218" s="47">
        <v>0.17199999999999999</v>
      </c>
      <c r="N218" s="47">
        <v>2.9269724916749999E-2</v>
      </c>
      <c r="O218" s="48">
        <v>0.46588000000000002</v>
      </c>
      <c r="P218" s="48">
        <v>3.1644099042113907</v>
      </c>
      <c r="Q218" s="48">
        <v>0.20115499496459999</v>
      </c>
    </row>
    <row r="219" spans="1:17" x14ac:dyDescent="0.25">
      <c r="A219" s="25">
        <v>25</v>
      </c>
      <c r="B219" s="5">
        <v>2</v>
      </c>
      <c r="C219" s="6">
        <v>2011</v>
      </c>
      <c r="D219" s="30" t="s">
        <v>45</v>
      </c>
      <c r="E219" s="8">
        <v>0.35199999999999998</v>
      </c>
      <c r="F219" s="41">
        <v>0.33850887298583987</v>
      </c>
      <c r="G219" s="47">
        <v>0.16593447377110787</v>
      </c>
      <c r="H219" s="49" t="s">
        <v>17</v>
      </c>
      <c r="I219" s="47">
        <v>0.4042</v>
      </c>
      <c r="J219" s="47">
        <v>0.10349999999999999</v>
      </c>
      <c r="K219" s="47">
        <v>0.1719</v>
      </c>
      <c r="L219" s="47">
        <v>0.29399999999999998</v>
      </c>
      <c r="M219" s="47">
        <v>0.17100000000000001</v>
      </c>
      <c r="N219" s="47">
        <v>2.94532125452222E-2</v>
      </c>
      <c r="O219" s="48">
        <v>0.47493000000000002</v>
      </c>
      <c r="P219" s="48">
        <v>3.1680707743080156</v>
      </c>
      <c r="Q219" s="48">
        <v>0.22494880676269499</v>
      </c>
    </row>
    <row r="220" spans="1:17" x14ac:dyDescent="0.25">
      <c r="A220" s="25">
        <v>25</v>
      </c>
      <c r="B220" s="5">
        <v>3</v>
      </c>
      <c r="C220" s="6">
        <v>2012</v>
      </c>
      <c r="D220" s="30" t="s">
        <v>45</v>
      </c>
      <c r="E220" s="9">
        <v>0.35199999999999998</v>
      </c>
      <c r="F220" s="41">
        <v>0.33725849151611326</v>
      </c>
      <c r="G220" s="47">
        <v>0.16766381186678767</v>
      </c>
      <c r="H220" s="49" t="s">
        <v>17</v>
      </c>
      <c r="I220" s="47">
        <v>0.40229999999999999</v>
      </c>
      <c r="J220" s="47">
        <v>0.1043</v>
      </c>
      <c r="K220" s="47">
        <v>0.17469999999999999</v>
      </c>
      <c r="L220" s="47">
        <v>0.23699999999999999</v>
      </c>
      <c r="M220" s="47">
        <v>0.20399999999999999</v>
      </c>
      <c r="N220" s="47">
        <v>2.9545210197822601E-2</v>
      </c>
      <c r="O220" s="48">
        <v>0.48399999999999999</v>
      </c>
      <c r="P220" s="48">
        <v>3.1728864654959987</v>
      </c>
      <c r="Q220" s="48">
        <v>0.27077089309692398</v>
      </c>
    </row>
    <row r="221" spans="1:17" x14ac:dyDescent="0.25">
      <c r="A221" s="25">
        <v>25</v>
      </c>
      <c r="B221" s="5">
        <v>4</v>
      </c>
      <c r="C221" s="6">
        <v>2013</v>
      </c>
      <c r="D221" s="30" t="s">
        <v>45</v>
      </c>
      <c r="E221" s="10">
        <v>0.35199999999999998</v>
      </c>
      <c r="F221" s="41">
        <v>0.33394962310791015</v>
      </c>
      <c r="G221" s="47">
        <v>0.18345839833703978</v>
      </c>
      <c r="H221" s="49" t="s">
        <v>17</v>
      </c>
      <c r="I221" s="47">
        <v>0.40050000000000002</v>
      </c>
      <c r="J221" s="47">
        <v>0.1051</v>
      </c>
      <c r="K221" s="47">
        <v>0.17749999999999999</v>
      </c>
      <c r="L221" s="47">
        <v>0.218</v>
      </c>
      <c r="M221" s="47">
        <v>0.161</v>
      </c>
      <c r="N221" s="47">
        <v>2.94920984544727E-2</v>
      </c>
      <c r="O221" s="48">
        <v>0.49306</v>
      </c>
      <c r="P221" s="48">
        <v>3.1769304958903177</v>
      </c>
      <c r="Q221" s="48">
        <v>0.30145439147949199</v>
      </c>
    </row>
    <row r="222" spans="1:17" x14ac:dyDescent="0.25">
      <c r="A222" s="25">
        <v>25</v>
      </c>
      <c r="B222" s="5">
        <v>5</v>
      </c>
      <c r="C222" s="6">
        <v>2014</v>
      </c>
      <c r="D222" s="30" t="s">
        <v>45</v>
      </c>
      <c r="E222" s="10">
        <v>0.352018</v>
      </c>
      <c r="F222" s="41">
        <v>0.33300506591796875</v>
      </c>
      <c r="G222" s="47">
        <v>0.19520299773756819</v>
      </c>
      <c r="H222" s="49" t="s">
        <v>17</v>
      </c>
      <c r="I222" s="47">
        <v>0.3987</v>
      </c>
      <c r="J222" s="47">
        <v>0.10589999999999999</v>
      </c>
      <c r="K222" s="47">
        <v>0.18029999999999999</v>
      </c>
      <c r="L222" s="47">
        <v>0.16800000000000001</v>
      </c>
      <c r="M222" s="47">
        <v>0.16300000000000001</v>
      </c>
      <c r="N222" s="47">
        <v>2.92719086716152E-2</v>
      </c>
      <c r="O222" s="48">
        <v>0.50202999999999998</v>
      </c>
      <c r="P222" s="48">
        <v>3.1820281856774586</v>
      </c>
      <c r="Q222" s="48">
        <v>0.30573219299316401</v>
      </c>
    </row>
    <row r="223" spans="1:17" x14ac:dyDescent="0.25">
      <c r="A223" s="25">
        <v>25</v>
      </c>
      <c r="B223" s="5">
        <v>6</v>
      </c>
      <c r="C223" s="6">
        <v>2015</v>
      </c>
      <c r="D223" s="30" t="s">
        <v>45</v>
      </c>
      <c r="E223" s="10">
        <v>0.28492669999999998</v>
      </c>
      <c r="F223" s="41">
        <v>0.33701213836669924</v>
      </c>
      <c r="G223" s="47">
        <v>0.21115578390200956</v>
      </c>
      <c r="H223" s="49" t="s">
        <v>17</v>
      </c>
      <c r="I223" s="47">
        <v>0.39750000000000002</v>
      </c>
      <c r="J223" s="47">
        <v>0.1043</v>
      </c>
      <c r="K223" s="47">
        <v>0.18099999999999999</v>
      </c>
      <c r="L223" s="47">
        <v>0.18100000000000002</v>
      </c>
      <c r="M223" s="47">
        <v>0.13800000000000001</v>
      </c>
      <c r="N223" s="47">
        <v>2.8936990932378101E-2</v>
      </c>
      <c r="O223" s="48">
        <v>0.51088999999999996</v>
      </c>
      <c r="P223" s="48">
        <v>3.1917161434433483</v>
      </c>
      <c r="Q223" s="48">
        <v>0.31063880920410197</v>
      </c>
    </row>
    <row r="224" spans="1:17" x14ac:dyDescent="0.25">
      <c r="A224" s="25">
        <v>25</v>
      </c>
      <c r="B224" s="5">
        <v>7</v>
      </c>
      <c r="C224" s="6">
        <v>2016</v>
      </c>
      <c r="D224" s="30" t="s">
        <v>45</v>
      </c>
      <c r="E224" s="10">
        <v>0.28492669999999998</v>
      </c>
      <c r="F224" s="41">
        <v>0.33484809875488281</v>
      </c>
      <c r="G224" s="47">
        <v>0.20298909759081166</v>
      </c>
      <c r="H224" s="49" t="s">
        <v>17</v>
      </c>
      <c r="I224" s="47">
        <v>0.39639999999999997</v>
      </c>
      <c r="J224" s="47">
        <v>0.1028</v>
      </c>
      <c r="K224" s="47">
        <v>0.1817</v>
      </c>
      <c r="L224" s="47">
        <v>0.252</v>
      </c>
      <c r="M224" s="47">
        <v>0.2</v>
      </c>
      <c r="N224" s="47">
        <v>2.8559880645722201E-2</v>
      </c>
      <c r="O224" s="48">
        <v>0.51962000000000008</v>
      </c>
      <c r="P224" s="48">
        <v>3.1841379980712374</v>
      </c>
      <c r="Q224" s="48">
        <v>0.32048011779785202</v>
      </c>
    </row>
    <row r="225" spans="1:17" x14ac:dyDescent="0.25">
      <c r="A225" s="25">
        <v>25</v>
      </c>
      <c r="B225" s="5">
        <v>8</v>
      </c>
      <c r="C225" s="6">
        <v>2017</v>
      </c>
      <c r="D225" s="30" t="s">
        <v>45</v>
      </c>
      <c r="E225" s="10">
        <v>0.28492671251296997</v>
      </c>
      <c r="F225" s="41">
        <v>0.33373264312744139</v>
      </c>
      <c r="G225" s="47">
        <v>0.2106657412128124</v>
      </c>
      <c r="H225" s="49" t="s">
        <v>17</v>
      </c>
      <c r="I225" s="47">
        <v>0.3952</v>
      </c>
      <c r="J225" s="47">
        <v>0.1012</v>
      </c>
      <c r="K225" s="47">
        <v>0.18240000000000001</v>
      </c>
      <c r="L225" s="47">
        <v>0.23800000000000002</v>
      </c>
      <c r="M225" s="47">
        <v>0.21</v>
      </c>
      <c r="N225" s="47">
        <v>2.8192346221486701E-2</v>
      </c>
      <c r="O225" s="48">
        <v>0.52823999999999993</v>
      </c>
      <c r="P225" s="48">
        <v>3.1975751106841717</v>
      </c>
      <c r="Q225" s="48">
        <v>0.316240005493164</v>
      </c>
    </row>
    <row r="226" spans="1:17" x14ac:dyDescent="0.25">
      <c r="A226" s="25">
        <v>25</v>
      </c>
      <c r="B226" s="5">
        <v>9</v>
      </c>
      <c r="C226" s="6">
        <v>2018</v>
      </c>
      <c r="D226" s="30" t="s">
        <v>45</v>
      </c>
      <c r="E226" s="10">
        <v>0.26107347011566162</v>
      </c>
      <c r="F226" s="41">
        <v>0.33372982025146486</v>
      </c>
      <c r="G226" s="47">
        <v>0.22041120894741406</v>
      </c>
      <c r="H226" s="49" t="s">
        <v>17</v>
      </c>
      <c r="I226" s="47">
        <v>0.39400000000000002</v>
      </c>
      <c r="J226" s="47">
        <v>9.9599999999999994E-2</v>
      </c>
      <c r="K226" s="47">
        <v>0.18310000000000001</v>
      </c>
      <c r="L226" s="47">
        <v>0.23300000000000001</v>
      </c>
      <c r="M226" s="47">
        <v>0.19500000000000001</v>
      </c>
      <c r="N226" s="47">
        <v>2.7800886312926602E-2</v>
      </c>
      <c r="O226" s="48">
        <v>0.53671999999999997</v>
      </c>
      <c r="P226" s="48">
        <v>3.2049070402824302</v>
      </c>
      <c r="Q226" s="48">
        <v>0.35390369415283202</v>
      </c>
    </row>
    <row r="227" spans="1:17" x14ac:dyDescent="0.25">
      <c r="A227" s="25">
        <v>26</v>
      </c>
      <c r="B227" s="5">
        <v>1</v>
      </c>
      <c r="C227" s="6">
        <v>2010</v>
      </c>
      <c r="D227" s="31" t="s">
        <v>46</v>
      </c>
      <c r="E227" s="8">
        <v>0.13915530000000001</v>
      </c>
      <c r="F227" s="41">
        <v>0.34335182189941404</v>
      </c>
      <c r="G227" s="47">
        <v>0.83292289076862924</v>
      </c>
      <c r="H227" s="49" t="s">
        <v>17</v>
      </c>
      <c r="I227" s="47">
        <v>0.47789999999999999</v>
      </c>
      <c r="J227" s="47">
        <v>0.13539999999999999</v>
      </c>
      <c r="K227" s="47">
        <v>0.15409999999999999</v>
      </c>
      <c r="L227" s="47">
        <v>0.52400000000000002</v>
      </c>
      <c r="M227" s="47">
        <v>0.46899999999999997</v>
      </c>
      <c r="N227" s="47">
        <v>1.2892074374743E-2</v>
      </c>
      <c r="O227" s="48">
        <v>0.58018000000000003</v>
      </c>
      <c r="P227" s="48">
        <v>3.4420157882931917</v>
      </c>
      <c r="Q227" s="48">
        <v>0.63267459869384801</v>
      </c>
    </row>
    <row r="228" spans="1:17" x14ac:dyDescent="0.25">
      <c r="A228" s="25">
        <v>26</v>
      </c>
      <c r="B228" s="5">
        <v>2</v>
      </c>
      <c r="C228" s="6">
        <v>2011</v>
      </c>
      <c r="D228" s="31" t="s">
        <v>46</v>
      </c>
      <c r="E228" s="8">
        <v>0.13900000000000001</v>
      </c>
      <c r="F228" s="41">
        <v>0.34602165222167969</v>
      </c>
      <c r="G228" s="47">
        <v>0.86804176959607038</v>
      </c>
      <c r="H228" s="49" t="s">
        <v>17</v>
      </c>
      <c r="I228" s="47">
        <v>0.47610000000000002</v>
      </c>
      <c r="J228" s="47">
        <v>0.13239999999999999</v>
      </c>
      <c r="K228" s="47">
        <v>0.1547</v>
      </c>
      <c r="L228" s="47">
        <v>0.40299999999999997</v>
      </c>
      <c r="M228" s="47">
        <v>0.45500000000000002</v>
      </c>
      <c r="N228" s="47">
        <v>1.34658267280361E-2</v>
      </c>
      <c r="O228" s="48">
        <v>0.58581000000000005</v>
      </c>
      <c r="P228" s="48">
        <v>3.4593230111661915</v>
      </c>
      <c r="Q228" s="48">
        <v>0.66259490966796908</v>
      </c>
    </row>
    <row r="229" spans="1:17" x14ac:dyDescent="0.25">
      <c r="A229" s="25">
        <v>26</v>
      </c>
      <c r="B229" s="5">
        <v>3</v>
      </c>
      <c r="C229" s="6">
        <v>2012</v>
      </c>
      <c r="D229" s="31" t="s">
        <v>46</v>
      </c>
      <c r="E229" s="19">
        <v>0.13900000000000001</v>
      </c>
      <c r="F229" s="41">
        <v>0.34761508941650393</v>
      </c>
      <c r="G229" s="47">
        <v>0.8776184019330564</v>
      </c>
      <c r="H229" s="49" t="s">
        <v>17</v>
      </c>
      <c r="I229" s="47">
        <v>0.47689999999999999</v>
      </c>
      <c r="J229" s="47">
        <v>0.1338</v>
      </c>
      <c r="K229" s="47">
        <v>0.15440000000000001</v>
      </c>
      <c r="L229" s="47">
        <v>0.374</v>
      </c>
      <c r="M229" s="47">
        <v>0.51200000000000001</v>
      </c>
      <c r="N229" s="47">
        <v>1.3935754615050099E-2</v>
      </c>
      <c r="O229" s="48">
        <v>0.59142000000000006</v>
      </c>
      <c r="P229" s="48">
        <v>3.4664895513774598</v>
      </c>
      <c r="Q229" s="48">
        <v>0.68983261108398397</v>
      </c>
    </row>
    <row r="230" spans="1:17" x14ac:dyDescent="0.25">
      <c r="A230" s="25">
        <v>26</v>
      </c>
      <c r="B230" s="5">
        <v>4</v>
      </c>
      <c r="C230" s="6">
        <v>2013</v>
      </c>
      <c r="D230" s="31" t="s">
        <v>46</v>
      </c>
      <c r="E230" s="10">
        <v>4.8000000000000001E-2</v>
      </c>
      <c r="F230" s="41">
        <v>0.34515666961669922</v>
      </c>
      <c r="G230" s="47">
        <v>0.83565542560535211</v>
      </c>
      <c r="H230" s="49" t="s">
        <v>17</v>
      </c>
      <c r="I230" s="47">
        <v>0.47660000000000002</v>
      </c>
      <c r="J230" s="47">
        <v>0.13320000000000001</v>
      </c>
      <c r="K230" s="47">
        <v>0.1545</v>
      </c>
      <c r="L230" s="47">
        <v>0.41700000000000004</v>
      </c>
      <c r="M230" s="47">
        <v>0.52600000000000002</v>
      </c>
      <c r="N230" s="47">
        <v>1.41526843050764E-2</v>
      </c>
      <c r="O230" s="48">
        <v>0.59699999999999998</v>
      </c>
      <c r="P230" s="48">
        <v>3.4783046203167856</v>
      </c>
      <c r="Q230" s="48">
        <v>0.67621376037597658</v>
      </c>
    </row>
    <row r="231" spans="1:17" x14ac:dyDescent="0.25">
      <c r="A231" s="25">
        <v>26</v>
      </c>
      <c r="B231" s="5">
        <v>5</v>
      </c>
      <c r="C231" s="6">
        <v>2014</v>
      </c>
      <c r="D231" s="31" t="s">
        <v>46</v>
      </c>
      <c r="E231" s="10">
        <v>4.8211999999999998E-2</v>
      </c>
      <c r="F231" s="41">
        <v>0.34695198059082033</v>
      </c>
      <c r="G231" s="47">
        <v>0.83510307614346146</v>
      </c>
      <c r="H231" s="49" t="s">
        <v>17</v>
      </c>
      <c r="I231" s="47">
        <v>0.47639999999999999</v>
      </c>
      <c r="J231" s="47">
        <v>0.13300000000000001</v>
      </c>
      <c r="K231" s="47">
        <v>0.15459999999999999</v>
      </c>
      <c r="L231" s="47">
        <v>0.47100000000000003</v>
      </c>
      <c r="M231" s="47">
        <v>0.48100000000000004</v>
      </c>
      <c r="N231" s="47">
        <v>1.40384162655748E-2</v>
      </c>
      <c r="O231" s="48">
        <v>0.60255999999999998</v>
      </c>
      <c r="P231" s="48">
        <v>3.4845075368423997</v>
      </c>
      <c r="Q231" s="48">
        <v>0.68302318572998022</v>
      </c>
    </row>
    <row r="232" spans="1:17" x14ac:dyDescent="0.25">
      <c r="A232" s="25">
        <v>26</v>
      </c>
      <c r="B232" s="5">
        <v>6</v>
      </c>
      <c r="C232" s="6">
        <v>2015</v>
      </c>
      <c r="D232" s="31" t="s">
        <v>46</v>
      </c>
      <c r="E232" s="32">
        <v>6.7393900000000007E-2</v>
      </c>
      <c r="F232" s="41">
        <v>0.34081493377685546</v>
      </c>
      <c r="G232" s="47">
        <v>0.78393397996693404</v>
      </c>
      <c r="H232" s="49" t="s">
        <v>17</v>
      </c>
      <c r="I232" s="47">
        <v>0.47799999999999998</v>
      </c>
      <c r="J232" s="47">
        <v>0.13569999999999999</v>
      </c>
      <c r="K232" s="47">
        <v>0.15409999999999999</v>
      </c>
      <c r="L232" s="47">
        <v>0.48100000000000004</v>
      </c>
      <c r="M232" s="47">
        <v>0.47600000000000003</v>
      </c>
      <c r="N232" s="47">
        <v>1.3688207004043201E-2</v>
      </c>
      <c r="O232" s="48">
        <v>0.60809000000000002</v>
      </c>
      <c r="P232" s="48">
        <v>3.4977929252554523</v>
      </c>
      <c r="Q232" s="48">
        <v>0.6796184730529784</v>
      </c>
    </row>
    <row r="233" spans="1:17" x14ac:dyDescent="0.25">
      <c r="A233" s="25">
        <v>26</v>
      </c>
      <c r="B233" s="5">
        <v>7</v>
      </c>
      <c r="C233" s="6">
        <v>2016</v>
      </c>
      <c r="D233" s="31" t="s">
        <v>46</v>
      </c>
      <c r="E233" s="10">
        <v>6.7393900000000007E-2</v>
      </c>
      <c r="F233" s="41">
        <v>0.34245403289794923</v>
      </c>
      <c r="G233" s="47">
        <v>0.80229949677388068</v>
      </c>
      <c r="H233" s="49" t="s">
        <v>17</v>
      </c>
      <c r="I233" s="47">
        <v>0.4763</v>
      </c>
      <c r="J233" s="47">
        <v>0.1328</v>
      </c>
      <c r="K233" s="47">
        <v>0.15459999999999999</v>
      </c>
      <c r="L233" s="47">
        <v>0.505</v>
      </c>
      <c r="M233" s="47">
        <v>0.45700000000000002</v>
      </c>
      <c r="N233" s="47">
        <v>1.32590216473171E-2</v>
      </c>
      <c r="O233" s="48">
        <v>0.61360000000000003</v>
      </c>
      <c r="P233" s="48">
        <v>3.4947701109298857</v>
      </c>
      <c r="Q233" s="48">
        <v>0.6813208293914792</v>
      </c>
    </row>
    <row r="234" spans="1:17" x14ac:dyDescent="0.25">
      <c r="A234" s="25">
        <v>26</v>
      </c>
      <c r="B234" s="5">
        <v>8</v>
      </c>
      <c r="C234" s="6">
        <v>2017</v>
      </c>
      <c r="D234" s="31" t="s">
        <v>46</v>
      </c>
      <c r="E234" s="10">
        <v>6.7393913865089417E-2</v>
      </c>
      <c r="F234" s="41">
        <v>0.34160285949707031</v>
      </c>
      <c r="G234" s="47">
        <v>0.80194048165088883</v>
      </c>
      <c r="H234" s="49" t="s">
        <v>17</v>
      </c>
      <c r="I234" s="47">
        <v>0.47710000000000002</v>
      </c>
      <c r="J234" s="47">
        <v>0.1341</v>
      </c>
      <c r="K234" s="47">
        <v>0.15440000000000001</v>
      </c>
      <c r="L234" s="47">
        <v>0.49</v>
      </c>
      <c r="M234" s="47">
        <v>0.40500000000000003</v>
      </c>
      <c r="N234" s="47">
        <v>1.28696129912794E-2</v>
      </c>
      <c r="O234" s="48">
        <v>0.61907999999999996</v>
      </c>
      <c r="P234" s="48">
        <v>3.5108993098760068</v>
      </c>
      <c r="Q234" s="48">
        <v>0.78536102294921906</v>
      </c>
    </row>
    <row r="235" spans="1:17" x14ac:dyDescent="0.25">
      <c r="A235" s="25">
        <v>26</v>
      </c>
      <c r="B235" s="5">
        <v>9</v>
      </c>
      <c r="C235" s="6">
        <v>2018</v>
      </c>
      <c r="D235" s="31" t="s">
        <v>46</v>
      </c>
      <c r="E235" s="10">
        <v>8.4816329181194305E-2</v>
      </c>
      <c r="F235" s="41">
        <v>0.34077693939208986</v>
      </c>
      <c r="G235" s="47">
        <v>0.78956810179216763</v>
      </c>
      <c r="H235" s="49" t="s">
        <v>17</v>
      </c>
      <c r="I235" s="47">
        <v>0.47689999999999999</v>
      </c>
      <c r="J235" s="47">
        <v>0.1338</v>
      </c>
      <c r="K235" s="47">
        <v>0.15440000000000001</v>
      </c>
      <c r="L235" s="47">
        <v>0.44799999999999995</v>
      </c>
      <c r="M235" s="47">
        <v>0.39</v>
      </c>
      <c r="N235" s="47">
        <v>1.25076295051273E-2</v>
      </c>
      <c r="O235" s="48">
        <v>0.62453000000000003</v>
      </c>
      <c r="P235" s="48">
        <v>3.519133606155644</v>
      </c>
      <c r="Q235" s="48">
        <v>0.79016258239746096</v>
      </c>
    </row>
    <row r="236" spans="1:17" x14ac:dyDescent="0.25">
      <c r="A236" s="25">
        <v>27</v>
      </c>
      <c r="B236" s="5">
        <v>1</v>
      </c>
      <c r="C236" s="6">
        <v>2010</v>
      </c>
      <c r="D236" s="33" t="s">
        <v>47</v>
      </c>
      <c r="E236" s="8">
        <v>0.48071589999999997</v>
      </c>
      <c r="F236" s="41">
        <v>0.38532238006591796</v>
      </c>
      <c r="G236" s="47">
        <v>0.21649186498651876</v>
      </c>
      <c r="H236" s="49" t="s">
        <v>41</v>
      </c>
      <c r="I236" s="49"/>
      <c r="J236" s="49"/>
      <c r="K236" s="49"/>
      <c r="L236" s="47">
        <v>0.41</v>
      </c>
      <c r="M236" s="47">
        <v>0.32100000000000001</v>
      </c>
      <c r="N236" s="47">
        <v>2.7436567423571902E-2</v>
      </c>
      <c r="O236" s="48">
        <v>0.31829999999999997</v>
      </c>
      <c r="P236" s="48">
        <v>2.6938701010316177</v>
      </c>
      <c r="Q236" s="48">
        <v>0.25884109497070296</v>
      </c>
    </row>
    <row r="237" spans="1:17" x14ac:dyDescent="0.25">
      <c r="A237" s="25">
        <v>27</v>
      </c>
      <c r="B237" s="5">
        <v>2</v>
      </c>
      <c r="C237" s="6">
        <v>2011</v>
      </c>
      <c r="D237" s="33" t="s">
        <v>47</v>
      </c>
      <c r="E237" s="8">
        <v>0.51200000000000001</v>
      </c>
      <c r="F237" s="41">
        <v>0.38554115295410157</v>
      </c>
      <c r="G237" s="47">
        <v>0.20919734128874914</v>
      </c>
      <c r="H237" s="49" t="s">
        <v>41</v>
      </c>
      <c r="I237" s="49"/>
      <c r="J237" s="49"/>
      <c r="K237" s="49"/>
      <c r="L237" s="47">
        <v>0.38400000000000001</v>
      </c>
      <c r="M237" s="47">
        <v>0.29899999999999999</v>
      </c>
      <c r="N237" s="47">
        <v>2.74931744330296E-2</v>
      </c>
      <c r="O237" s="48">
        <v>0.32335999999999998</v>
      </c>
      <c r="P237" s="48">
        <v>2.7116975513603654</v>
      </c>
      <c r="Q237" s="48">
        <v>0.26672849655151398</v>
      </c>
    </row>
    <row r="238" spans="1:17" x14ac:dyDescent="0.25">
      <c r="A238" s="25">
        <v>27</v>
      </c>
      <c r="B238" s="5">
        <v>3</v>
      </c>
      <c r="C238" s="6">
        <v>2012</v>
      </c>
      <c r="D238" s="33" t="s">
        <v>47</v>
      </c>
      <c r="E238" s="9">
        <v>0.51200000000000001</v>
      </c>
      <c r="F238" s="41">
        <v>0.38484901428222656</v>
      </c>
      <c r="G238" s="47">
        <v>0.22431451797652138</v>
      </c>
      <c r="H238" s="49" t="s">
        <v>41</v>
      </c>
      <c r="I238" s="49"/>
      <c r="J238" s="49"/>
      <c r="K238" s="49"/>
      <c r="L238" s="47">
        <v>0.34600000000000003</v>
      </c>
      <c r="M238" s="47">
        <v>0.29899999999999999</v>
      </c>
      <c r="N238" s="47">
        <v>2.7531631636369E-2</v>
      </c>
      <c r="O238" s="48">
        <v>0.32845999999999997</v>
      </c>
      <c r="P238" s="48">
        <v>2.732630560895029</v>
      </c>
      <c r="Q238" s="48">
        <v>0.261849498748779</v>
      </c>
    </row>
    <row r="239" spans="1:17" x14ac:dyDescent="0.25">
      <c r="A239" s="25">
        <v>27</v>
      </c>
      <c r="B239" s="5">
        <v>4</v>
      </c>
      <c r="C239" s="6">
        <v>2013</v>
      </c>
      <c r="D239" s="33" t="s">
        <v>47</v>
      </c>
      <c r="E239" s="10">
        <v>0.51200000000000001</v>
      </c>
      <c r="F239" s="41">
        <v>0.38593948364257813</v>
      </c>
      <c r="G239" s="47">
        <v>0.26261154758769639</v>
      </c>
      <c r="H239" s="49" t="s">
        <v>41</v>
      </c>
      <c r="I239" s="49"/>
      <c r="J239" s="49"/>
      <c r="K239" s="49"/>
      <c r="L239" s="47">
        <v>0.34100000000000003</v>
      </c>
      <c r="M239" s="47">
        <v>0.318</v>
      </c>
      <c r="N239" s="47">
        <v>2.7690447620442198E-2</v>
      </c>
      <c r="O239" s="48">
        <v>0.33360000000000001</v>
      </c>
      <c r="P239" s="48">
        <v>2.7477177679076346</v>
      </c>
      <c r="Q239" s="48">
        <v>0.35038280487060497</v>
      </c>
    </row>
    <row r="240" spans="1:17" x14ac:dyDescent="0.25">
      <c r="A240" s="25">
        <v>27</v>
      </c>
      <c r="B240" s="5">
        <v>5</v>
      </c>
      <c r="C240" s="6">
        <v>2014</v>
      </c>
      <c r="D240" s="33" t="s">
        <v>47</v>
      </c>
      <c r="E240" s="10">
        <v>0.388878</v>
      </c>
      <c r="F240" s="41">
        <v>0.38953716278076173</v>
      </c>
      <c r="G240" s="47">
        <v>0.30188781793047975</v>
      </c>
      <c r="H240" s="49" t="s">
        <v>41</v>
      </c>
      <c r="I240" s="49"/>
      <c r="J240" s="49"/>
      <c r="K240" s="49"/>
      <c r="L240" s="47">
        <v>0.29299999999999998</v>
      </c>
      <c r="M240" s="47">
        <v>0.23100000000000001</v>
      </c>
      <c r="N240" s="47">
        <v>2.7985732254760299E-2</v>
      </c>
      <c r="O240" s="48">
        <v>0.33878000000000003</v>
      </c>
      <c r="P240" s="48">
        <v>2.7673538266763464</v>
      </c>
      <c r="Q240" s="48">
        <v>0.34389430999755904</v>
      </c>
    </row>
    <row r="241" spans="1:17" x14ac:dyDescent="0.25">
      <c r="A241" s="25">
        <v>27</v>
      </c>
      <c r="B241" s="5">
        <v>6</v>
      </c>
      <c r="C241" s="6">
        <v>2015</v>
      </c>
      <c r="D241" s="33" t="s">
        <v>47</v>
      </c>
      <c r="E241" s="12">
        <v>0.38887830000000001</v>
      </c>
      <c r="F241" s="41">
        <v>0.38705368041992189</v>
      </c>
      <c r="G241" s="47">
        <v>0.32053131673048241</v>
      </c>
      <c r="H241" s="49" t="s">
        <v>41</v>
      </c>
      <c r="I241" s="49"/>
      <c r="J241" s="49"/>
      <c r="K241" s="49"/>
      <c r="L241" s="47">
        <v>0.248</v>
      </c>
      <c r="M241" s="47">
        <v>0.21</v>
      </c>
      <c r="N241" s="47">
        <v>2.83474676145066E-2</v>
      </c>
      <c r="O241" s="48">
        <v>0.34399999999999997</v>
      </c>
      <c r="P241" s="48">
        <v>2.7857310336479779</v>
      </c>
      <c r="Q241" s="48">
        <v>0.34762191772460904</v>
      </c>
    </row>
    <row r="242" spans="1:17" x14ac:dyDescent="0.25">
      <c r="A242" s="25">
        <v>27</v>
      </c>
      <c r="B242" s="5">
        <v>7</v>
      </c>
      <c r="C242" s="6">
        <v>2016</v>
      </c>
      <c r="D242" s="33" t="s">
        <v>47</v>
      </c>
      <c r="E242" s="10">
        <v>0.38887830000000001</v>
      </c>
      <c r="F242" s="41">
        <v>0.38830837249755862</v>
      </c>
      <c r="G242" s="47">
        <v>0.31207887905634563</v>
      </c>
      <c r="H242" s="49" t="s">
        <v>41</v>
      </c>
      <c r="I242" s="49"/>
      <c r="J242" s="49"/>
      <c r="K242" s="49"/>
      <c r="L242" s="47">
        <v>0.17100000000000001</v>
      </c>
      <c r="M242" s="47">
        <v>0.16699999999999998</v>
      </c>
      <c r="N242" s="47">
        <v>2.8720810347267197E-2</v>
      </c>
      <c r="O242" s="48">
        <v>0.34926000000000001</v>
      </c>
      <c r="P242" s="48">
        <v>2.7929375171624451</v>
      </c>
      <c r="Q242" s="48">
        <v>0.27894239570108398</v>
      </c>
    </row>
    <row r="243" spans="1:17" x14ac:dyDescent="0.25">
      <c r="A243" s="25">
        <v>27</v>
      </c>
      <c r="B243" s="5">
        <v>8</v>
      </c>
      <c r="C243" s="6">
        <v>2017</v>
      </c>
      <c r="D243" s="33" t="s">
        <v>47</v>
      </c>
      <c r="E243" s="10">
        <v>0.38887831568717957</v>
      </c>
      <c r="F243" s="41">
        <v>0.38545936584472656</v>
      </c>
      <c r="G243" s="47">
        <v>0.24458206452412232</v>
      </c>
      <c r="H243" s="49" t="s">
        <v>41</v>
      </c>
      <c r="I243" s="49"/>
      <c r="J243" s="49"/>
      <c r="K243" s="49"/>
      <c r="L243" s="47">
        <v>0.19</v>
      </c>
      <c r="M243" s="47">
        <v>0.16699999999999998</v>
      </c>
      <c r="N243" s="47">
        <v>2.9006722610877701E-2</v>
      </c>
      <c r="O243" s="48">
        <v>0.35454999999999998</v>
      </c>
      <c r="P243" s="48">
        <v>2.791267861685736</v>
      </c>
      <c r="Q243" s="48">
        <v>0.37011379241943404</v>
      </c>
    </row>
    <row r="244" spans="1:17" x14ac:dyDescent="0.25">
      <c r="A244" s="25">
        <v>27</v>
      </c>
      <c r="B244" s="5">
        <v>9</v>
      </c>
      <c r="C244" s="6">
        <v>2018</v>
      </c>
      <c r="D244" s="33" t="s">
        <v>47</v>
      </c>
      <c r="E244" s="10">
        <v>0.41167932748794556</v>
      </c>
      <c r="F244" s="41">
        <v>0.38103740692138671</v>
      </c>
      <c r="G244" s="47">
        <v>0.22129203507103143</v>
      </c>
      <c r="H244" s="49" t="s">
        <v>41</v>
      </c>
      <c r="I244" s="49"/>
      <c r="J244" s="49"/>
      <c r="K244" s="49"/>
      <c r="L244" s="47">
        <v>0.23800000000000002</v>
      </c>
      <c r="M244" s="47">
        <v>0.157</v>
      </c>
      <c r="N244" s="47">
        <v>2.9136183183691801E-2</v>
      </c>
      <c r="O244" s="48">
        <v>0.35987999999999998</v>
      </c>
      <c r="P244" s="48">
        <v>2.7931991004174583</v>
      </c>
      <c r="Q244" s="48">
        <v>0.30336865080469499</v>
      </c>
    </row>
    <row r="245" spans="1:17" x14ac:dyDescent="0.25">
      <c r="A245" s="25">
        <v>28</v>
      </c>
      <c r="B245" s="5">
        <v>1</v>
      </c>
      <c r="C245" s="6">
        <v>2010</v>
      </c>
      <c r="D245" s="28" t="s">
        <v>48</v>
      </c>
      <c r="E245" s="8">
        <v>0.18696260000000001</v>
      </c>
      <c r="F245" s="41">
        <v>0.30684316635131836</v>
      </c>
      <c r="G245" s="47"/>
      <c r="H245" s="49" t="s">
        <v>49</v>
      </c>
      <c r="I245" s="47">
        <v>0.68130000000000002</v>
      </c>
      <c r="J245" s="47">
        <v>0.25540000000000002</v>
      </c>
      <c r="K245" s="47">
        <v>6.5600000000000006E-2</v>
      </c>
      <c r="L245" s="47">
        <v>0.66700000000000004</v>
      </c>
      <c r="M245" s="47">
        <v>0.61199999999999999</v>
      </c>
      <c r="N245" s="47">
        <v>1.8018943127386999E-2</v>
      </c>
      <c r="O245" s="48">
        <v>0.41615999999999997</v>
      </c>
      <c r="P245" s="48">
        <v>3.6196285507239168</v>
      </c>
      <c r="Q245" s="48">
        <v>0</v>
      </c>
    </row>
    <row r="246" spans="1:17" x14ac:dyDescent="0.25">
      <c r="A246" s="25">
        <v>28</v>
      </c>
      <c r="B246" s="5">
        <v>2</v>
      </c>
      <c r="C246" s="6">
        <v>2011</v>
      </c>
      <c r="D246" s="28" t="s">
        <v>48</v>
      </c>
      <c r="E246" s="8">
        <v>0.187</v>
      </c>
      <c r="F246" s="41">
        <v>0.29795738220214846</v>
      </c>
      <c r="G246" s="47"/>
      <c r="H246" s="49" t="s">
        <v>49</v>
      </c>
      <c r="I246" s="47">
        <v>0.67280000000000006</v>
      </c>
      <c r="J246" s="47">
        <v>0.24690000000000001</v>
      </c>
      <c r="K246" s="47">
        <v>6.6299999999999998E-2</v>
      </c>
      <c r="L246" s="47">
        <v>0.64900000000000002</v>
      </c>
      <c r="M246" s="47">
        <v>0.60699999999999998</v>
      </c>
      <c r="N246" s="47">
        <v>1.7692116979486E-2</v>
      </c>
      <c r="O246" s="48">
        <v>0.42637000000000003</v>
      </c>
      <c r="P246" s="48">
        <v>3.6337435408265404</v>
      </c>
      <c r="Q246" s="48">
        <v>0</v>
      </c>
    </row>
    <row r="247" spans="1:17" x14ac:dyDescent="0.25">
      <c r="A247" s="25">
        <v>28</v>
      </c>
      <c r="B247" s="5">
        <v>3</v>
      </c>
      <c r="C247" s="6">
        <v>2012</v>
      </c>
      <c r="D247" s="28" t="s">
        <v>48</v>
      </c>
      <c r="E247" s="9">
        <v>0.187</v>
      </c>
      <c r="F247" s="41">
        <v>0.29729087829589845</v>
      </c>
      <c r="G247" s="47"/>
      <c r="H247" s="49" t="s">
        <v>49</v>
      </c>
      <c r="I247" s="47">
        <v>0.66449999999999998</v>
      </c>
      <c r="J247" s="47">
        <v>0.2389</v>
      </c>
      <c r="K247" s="47">
        <v>6.6900000000000001E-2</v>
      </c>
      <c r="L247" s="47">
        <v>0.66799999999999993</v>
      </c>
      <c r="M247" s="47">
        <v>0.61599999999999999</v>
      </c>
      <c r="N247" s="47">
        <v>1.7502098500361801E-2</v>
      </c>
      <c r="O247" s="48">
        <v>0.43692999999999999</v>
      </c>
      <c r="P247" s="48">
        <v>3.6455173138007706</v>
      </c>
      <c r="Q247" s="48">
        <v>0</v>
      </c>
    </row>
    <row r="248" spans="1:17" x14ac:dyDescent="0.25">
      <c r="A248" s="25">
        <v>28</v>
      </c>
      <c r="B248" s="5">
        <v>4</v>
      </c>
      <c r="C248" s="6">
        <v>2013</v>
      </c>
      <c r="D248" s="28" t="s">
        <v>48</v>
      </c>
      <c r="E248" s="10">
        <v>0.187</v>
      </c>
      <c r="F248" s="41">
        <v>0.29786609649658202</v>
      </c>
      <c r="G248" s="47"/>
      <c r="H248" s="49" t="s">
        <v>49</v>
      </c>
      <c r="I248" s="47">
        <v>0.65720000000000001</v>
      </c>
      <c r="J248" s="47">
        <v>0.2331</v>
      </c>
      <c r="K248" s="47">
        <v>6.7400000000000002E-2</v>
      </c>
      <c r="L248" s="47">
        <v>0.66400000000000003</v>
      </c>
      <c r="M248" s="47">
        <v>0.61599999999999999</v>
      </c>
      <c r="N248" s="47">
        <v>1.7492101340086198E-2</v>
      </c>
      <c r="O248" s="48">
        <v>0.44756000000000001</v>
      </c>
      <c r="P248" s="48">
        <v>3.6579414830709456</v>
      </c>
      <c r="Q248" s="48">
        <v>0</v>
      </c>
    </row>
    <row r="249" spans="1:17" x14ac:dyDescent="0.25">
      <c r="A249" s="25">
        <v>28</v>
      </c>
      <c r="B249" s="5">
        <v>5</v>
      </c>
      <c r="C249" s="6">
        <v>2014</v>
      </c>
      <c r="D249" s="28" t="s">
        <v>48</v>
      </c>
      <c r="E249" s="10">
        <v>0.18656400000000001</v>
      </c>
      <c r="F249" s="41">
        <v>0.29694051742553712</v>
      </c>
      <c r="G249" s="47"/>
      <c r="H249" s="49" t="s">
        <v>49</v>
      </c>
      <c r="I249" s="47">
        <v>0.64780000000000004</v>
      </c>
      <c r="J249" s="47">
        <v>0.22270000000000001</v>
      </c>
      <c r="K249" s="47">
        <v>6.8199999999999997E-2</v>
      </c>
      <c r="L249" s="47">
        <v>0.625</v>
      </c>
      <c r="M249" s="47">
        <v>0.61499999999999999</v>
      </c>
      <c r="N249" s="47">
        <v>1.7715396646720401E-2</v>
      </c>
      <c r="O249" s="48">
        <v>0.45826</v>
      </c>
      <c r="P249" s="48">
        <v>3.6722786477611091</v>
      </c>
      <c r="Q249" s="48">
        <v>0</v>
      </c>
    </row>
    <row r="250" spans="1:17" x14ac:dyDescent="0.25">
      <c r="A250" s="25">
        <v>28</v>
      </c>
      <c r="B250" s="5">
        <v>6</v>
      </c>
      <c r="C250" s="6">
        <v>2015</v>
      </c>
      <c r="D250" s="28" t="s">
        <v>48</v>
      </c>
      <c r="E250" s="12">
        <v>0.19311310000000001</v>
      </c>
      <c r="F250" s="41">
        <v>0.29120283126831054</v>
      </c>
      <c r="G250" s="47">
        <v>0.6562596883578905</v>
      </c>
      <c r="H250" s="49" t="s">
        <v>49</v>
      </c>
      <c r="I250" s="47">
        <v>0.63960000000000006</v>
      </c>
      <c r="J250" s="47">
        <v>0.21490000000000001</v>
      </c>
      <c r="K250" s="47">
        <v>6.88E-2</v>
      </c>
      <c r="L250" s="47">
        <v>0.63300000000000001</v>
      </c>
      <c r="M250" s="47">
        <v>0.65700000000000003</v>
      </c>
      <c r="N250" s="47">
        <v>1.8078977225095601E-2</v>
      </c>
      <c r="O250" s="48">
        <v>0.46899999999999997</v>
      </c>
      <c r="P250" s="48">
        <v>3.6788921037378395</v>
      </c>
      <c r="Q250" s="48">
        <v>0</v>
      </c>
    </row>
    <row r="251" spans="1:17" x14ac:dyDescent="0.25">
      <c r="A251" s="25">
        <v>28</v>
      </c>
      <c r="B251" s="5">
        <v>7</v>
      </c>
      <c r="C251" s="6">
        <v>2016</v>
      </c>
      <c r="D251" s="28" t="s">
        <v>48</v>
      </c>
      <c r="E251" s="10">
        <v>0.19311310000000001</v>
      </c>
      <c r="F251" s="41">
        <v>0.29131166458129881</v>
      </c>
      <c r="G251" s="47">
        <v>0.68571863897019225</v>
      </c>
      <c r="H251" s="49" t="s">
        <v>49</v>
      </c>
      <c r="I251" s="47">
        <v>0.63980000000000004</v>
      </c>
      <c r="J251" s="47">
        <v>0.2152</v>
      </c>
      <c r="K251" s="47">
        <v>6.88E-2</v>
      </c>
      <c r="L251" s="47">
        <v>0.624</v>
      </c>
      <c r="M251" s="47">
        <v>0.61</v>
      </c>
      <c r="N251" s="47">
        <v>1.8465539777407999E-2</v>
      </c>
      <c r="O251" s="48">
        <v>0.47960999999999998</v>
      </c>
      <c r="P251" s="48">
        <v>3.6673247129116451</v>
      </c>
      <c r="Q251" s="48">
        <v>0</v>
      </c>
    </row>
    <row r="252" spans="1:17" x14ac:dyDescent="0.25">
      <c r="A252" s="25">
        <v>28</v>
      </c>
      <c r="B252" s="5">
        <v>8</v>
      </c>
      <c r="C252" s="6">
        <v>2017</v>
      </c>
      <c r="D252" s="28" t="s">
        <v>48</v>
      </c>
      <c r="E252" s="10">
        <v>0.19311313331127167</v>
      </c>
      <c r="F252" s="41">
        <v>0.28972673416137695</v>
      </c>
      <c r="G252" s="47">
        <v>0.65085089864054313</v>
      </c>
      <c r="H252" s="49" t="s">
        <v>49</v>
      </c>
      <c r="I252" s="47">
        <v>0.63960000000000006</v>
      </c>
      <c r="J252" s="47">
        <v>0.21490000000000001</v>
      </c>
      <c r="K252" s="47">
        <v>6.88E-2</v>
      </c>
      <c r="L252" s="47">
        <v>0.629</v>
      </c>
      <c r="M252" s="47">
        <v>0.61899999999999999</v>
      </c>
      <c r="N252" s="47">
        <v>1.87285953996E-2</v>
      </c>
      <c r="O252" s="48">
        <v>0.49005000000000004</v>
      </c>
      <c r="P252" s="48">
        <v>3.6509612167642334</v>
      </c>
      <c r="Q252" s="48">
        <v>0</v>
      </c>
    </row>
    <row r="253" spans="1:17" x14ac:dyDescent="0.25">
      <c r="A253" s="25">
        <v>28</v>
      </c>
      <c r="B253" s="5">
        <v>9</v>
      </c>
      <c r="C253" s="6">
        <v>2018</v>
      </c>
      <c r="D253" s="28" t="s">
        <v>48</v>
      </c>
      <c r="E253" s="10">
        <v>0.18295519053936005</v>
      </c>
      <c r="F253" s="41">
        <v>0.2919595718383789</v>
      </c>
      <c r="G253" s="47">
        <v>0.65841548680074591</v>
      </c>
      <c r="H253" s="49" t="s">
        <v>49</v>
      </c>
      <c r="I253" s="47">
        <v>0.63960000000000006</v>
      </c>
      <c r="J253" s="47">
        <v>0.21490000000000001</v>
      </c>
      <c r="K253" s="47">
        <v>6.88E-2</v>
      </c>
      <c r="L253" s="47">
        <v>0.63300000000000001</v>
      </c>
      <c r="M253" s="47">
        <v>0.57600000000000007</v>
      </c>
      <c r="N253" s="47">
        <v>1.8832848939228899E-2</v>
      </c>
      <c r="O253" s="48">
        <v>0.50031999999999999</v>
      </c>
      <c r="P253" s="48">
        <v>3.6434995952318738</v>
      </c>
      <c r="Q253" s="48">
        <v>0</v>
      </c>
    </row>
    <row r="254" spans="1:17" x14ac:dyDescent="0.25">
      <c r="A254" s="25">
        <v>29</v>
      </c>
      <c r="B254" s="5">
        <v>1</v>
      </c>
      <c r="C254" s="6">
        <v>2010</v>
      </c>
      <c r="D254" s="34" t="s">
        <v>50</v>
      </c>
      <c r="E254" s="8">
        <v>0.64246669999999995</v>
      </c>
      <c r="F254" s="41">
        <v>0.41323444366455075</v>
      </c>
      <c r="G254" s="47">
        <v>9.0342729600051991E-2</v>
      </c>
      <c r="H254" s="49" t="s">
        <v>41</v>
      </c>
      <c r="I254" s="47">
        <v>0.43969999999999998</v>
      </c>
      <c r="J254" s="47">
        <v>0.12970000000000001</v>
      </c>
      <c r="K254" s="47">
        <v>0.17799999999999999</v>
      </c>
      <c r="L254" s="47">
        <v>0.3</v>
      </c>
      <c r="M254" s="47">
        <v>0.28699999999999998</v>
      </c>
      <c r="N254" s="47">
        <v>3.8441666560358197E-2</v>
      </c>
      <c r="O254" s="48">
        <v>0.16220999999999999</v>
      </c>
      <c r="P254" s="48">
        <v>2.6445165448419719</v>
      </c>
      <c r="Q254" s="48">
        <v>0.126883201599121</v>
      </c>
    </row>
    <row r="255" spans="1:17" x14ac:dyDescent="0.25">
      <c r="A255" s="25">
        <v>29</v>
      </c>
      <c r="B255" s="5">
        <v>2</v>
      </c>
      <c r="C255" s="6">
        <v>2011</v>
      </c>
      <c r="D255" s="34" t="s">
        <v>50</v>
      </c>
      <c r="E255" s="8">
        <v>0.64200000000000002</v>
      </c>
      <c r="F255" s="41">
        <v>0.41909423828124998</v>
      </c>
      <c r="G255" s="47">
        <v>9.9223081823125947E-2</v>
      </c>
      <c r="H255" s="49" t="s">
        <v>41</v>
      </c>
      <c r="I255" s="47">
        <v>0.4239</v>
      </c>
      <c r="J255" s="47">
        <v>0.11990000000000001</v>
      </c>
      <c r="K255" s="47">
        <v>0.1852</v>
      </c>
      <c r="L255" s="47">
        <v>0.28000000000000003</v>
      </c>
      <c r="M255" s="47">
        <v>0.29399999999999998</v>
      </c>
      <c r="N255" s="47">
        <v>3.8764135832545302E-2</v>
      </c>
      <c r="O255" s="48">
        <v>0.16216</v>
      </c>
      <c r="P255" s="48">
        <v>2.6384755438888297</v>
      </c>
      <c r="Q255" s="48">
        <v>0.13542679786682099</v>
      </c>
    </row>
    <row r="256" spans="1:17" x14ac:dyDescent="0.25">
      <c r="A256" s="25">
        <v>29</v>
      </c>
      <c r="B256" s="5">
        <v>3</v>
      </c>
      <c r="C256" s="6">
        <v>2012</v>
      </c>
      <c r="D256" s="34" t="s">
        <v>50</v>
      </c>
      <c r="E256" s="9">
        <v>0.64200000000000002</v>
      </c>
      <c r="F256" s="41">
        <v>0.40005245208740237</v>
      </c>
      <c r="G256" s="47">
        <v>9.9708135673543571E-2</v>
      </c>
      <c r="H256" s="49" t="s">
        <v>41</v>
      </c>
      <c r="I256" s="47">
        <v>0.42459999999999998</v>
      </c>
      <c r="J256" s="47">
        <v>0.11799999999999999</v>
      </c>
      <c r="K256" s="47">
        <v>0.1804</v>
      </c>
      <c r="L256" s="47">
        <v>0.313</v>
      </c>
      <c r="M256" s="47">
        <v>0.28000000000000003</v>
      </c>
      <c r="N256" s="47">
        <v>3.8987430377725597E-2</v>
      </c>
      <c r="O256" s="48">
        <v>0.16211999999999999</v>
      </c>
      <c r="P256" s="48">
        <v>2.6656431436749486</v>
      </c>
      <c r="Q256" s="48">
        <v>0.146892900466919</v>
      </c>
    </row>
    <row r="257" spans="1:17" x14ac:dyDescent="0.25">
      <c r="A257" s="25">
        <v>29</v>
      </c>
      <c r="B257" s="5">
        <v>4</v>
      </c>
      <c r="C257" s="6">
        <v>2013</v>
      </c>
      <c r="D257" s="34" t="s">
        <v>50</v>
      </c>
      <c r="E257" s="10">
        <v>0.64200000000000002</v>
      </c>
      <c r="F257" s="41">
        <v>0.39772022247314454</v>
      </c>
      <c r="G257" s="47">
        <v>0.10460630408420987</v>
      </c>
      <c r="H257" s="49" t="s">
        <v>41</v>
      </c>
      <c r="I257" s="47">
        <v>0.42520000000000002</v>
      </c>
      <c r="J257" s="47">
        <v>0.11600000000000001</v>
      </c>
      <c r="K257" s="47">
        <v>0.17560000000000001</v>
      </c>
      <c r="L257" s="47">
        <v>0.33200000000000002</v>
      </c>
      <c r="M257" s="47">
        <v>0.26500000000000001</v>
      </c>
      <c r="N257" s="47">
        <v>3.9073171203481499E-2</v>
      </c>
      <c r="O257" s="48">
        <v>0.16207999999999997</v>
      </c>
      <c r="P257" s="48">
        <v>2.6718115119336598</v>
      </c>
      <c r="Q257" s="48">
        <v>0.168310508728027</v>
      </c>
    </row>
    <row r="258" spans="1:17" x14ac:dyDescent="0.25">
      <c r="A258" s="25">
        <v>29</v>
      </c>
      <c r="B258" s="5">
        <v>5</v>
      </c>
      <c r="C258" s="6">
        <v>2014</v>
      </c>
      <c r="D258" s="34" t="s">
        <v>50</v>
      </c>
      <c r="E258" s="10">
        <v>0.60462700000000003</v>
      </c>
      <c r="F258" s="41">
        <v>0.39514591217041017</v>
      </c>
      <c r="G258" s="47">
        <v>0.10680035986388207</v>
      </c>
      <c r="H258" s="49" t="s">
        <v>41</v>
      </c>
      <c r="I258" s="47">
        <v>0.4259</v>
      </c>
      <c r="J258" s="47">
        <v>0.11409999999999999</v>
      </c>
      <c r="K258" s="47">
        <v>0.1709</v>
      </c>
      <c r="L258" s="47">
        <v>0.27899999999999997</v>
      </c>
      <c r="M258" s="47">
        <v>0.245</v>
      </c>
      <c r="N258" s="47">
        <v>3.8998469683457403E-2</v>
      </c>
      <c r="O258" s="48">
        <v>0.16219</v>
      </c>
      <c r="P258" s="48">
        <v>2.6837180068850666</v>
      </c>
      <c r="Q258" s="48">
        <v>0.18890180587768601</v>
      </c>
    </row>
    <row r="259" spans="1:17" x14ac:dyDescent="0.25">
      <c r="A259" s="25">
        <v>29</v>
      </c>
      <c r="B259" s="5">
        <v>6</v>
      </c>
      <c r="C259" s="6">
        <v>2015</v>
      </c>
      <c r="D259" s="34" t="s">
        <v>50</v>
      </c>
      <c r="E259" s="12">
        <v>0.60462660000000001</v>
      </c>
      <c r="F259" s="41">
        <v>0.40295398712158204</v>
      </c>
      <c r="G259" s="47">
        <v>0.11273154737693146</v>
      </c>
      <c r="H259" s="49" t="s">
        <v>41</v>
      </c>
      <c r="I259" s="47">
        <v>0.44059999999999999</v>
      </c>
      <c r="J259" s="47">
        <v>0.1255</v>
      </c>
      <c r="K259" s="47">
        <v>0.1673</v>
      </c>
      <c r="L259" s="47">
        <v>0.28600000000000003</v>
      </c>
      <c r="M259" s="47">
        <v>0.25700000000000001</v>
      </c>
      <c r="N259" s="47">
        <v>3.8814515444941897E-2</v>
      </c>
      <c r="O259" s="48">
        <v>0.16247</v>
      </c>
      <c r="P259" s="48">
        <v>2.6863346374334807</v>
      </c>
      <c r="Q259" s="48">
        <v>0.20897970199585</v>
      </c>
    </row>
    <row r="260" spans="1:17" x14ac:dyDescent="0.25">
      <c r="A260" s="25">
        <v>29</v>
      </c>
      <c r="B260" s="5">
        <v>7</v>
      </c>
      <c r="C260" s="6">
        <v>2016</v>
      </c>
      <c r="D260" s="34" t="s">
        <v>50</v>
      </c>
      <c r="E260" s="10">
        <v>0.60462660000000001</v>
      </c>
      <c r="F260" s="41">
        <v>0.39580398559570312</v>
      </c>
      <c r="G260" s="47">
        <v>0.11478825705069856</v>
      </c>
      <c r="H260" s="49" t="s">
        <v>41</v>
      </c>
      <c r="I260" s="47">
        <v>0.45519999999999999</v>
      </c>
      <c r="J260" s="47">
        <v>0.13700000000000001</v>
      </c>
      <c r="K260" s="47">
        <v>0.1638</v>
      </c>
      <c r="L260" s="47">
        <v>0.30499999999999999</v>
      </c>
      <c r="M260" s="47">
        <v>0.27100000000000002</v>
      </c>
      <c r="N260" s="47">
        <v>3.8598430917902903E-2</v>
      </c>
      <c r="O260" s="48">
        <v>0.16289999999999999</v>
      </c>
      <c r="P260" s="48">
        <v>2.6946204974251065</v>
      </c>
      <c r="Q260" s="48">
        <v>0.24117959976196299</v>
      </c>
    </row>
    <row r="261" spans="1:17" x14ac:dyDescent="0.25">
      <c r="A261" s="25">
        <v>29</v>
      </c>
      <c r="B261" s="5">
        <v>8</v>
      </c>
      <c r="C261" s="6">
        <v>2017</v>
      </c>
      <c r="D261" s="34" t="s">
        <v>50</v>
      </c>
      <c r="E261" s="10">
        <v>0.60462659597396851</v>
      </c>
      <c r="F261" s="41">
        <v>0.38930782318115237</v>
      </c>
      <c r="G261" s="47">
        <v>0.11414857471115068</v>
      </c>
      <c r="H261" s="49" t="s">
        <v>41</v>
      </c>
      <c r="I261" s="47">
        <v>0.46989999999999998</v>
      </c>
      <c r="J261" s="47">
        <v>0.1484</v>
      </c>
      <c r="K261" s="47">
        <v>0.1603</v>
      </c>
      <c r="L261" s="47">
        <v>0.27100000000000002</v>
      </c>
      <c r="M261" s="47">
        <v>0.21899999999999997</v>
      </c>
      <c r="N261" s="47">
        <v>3.8390013119735403E-2</v>
      </c>
      <c r="O261" s="48">
        <v>0.16350000000000001</v>
      </c>
      <c r="P261" s="48">
        <v>2.7003707793710481</v>
      </c>
      <c r="Q261" s="48">
        <v>0.25349069595336898</v>
      </c>
    </row>
    <row r="262" spans="1:17" x14ac:dyDescent="0.25">
      <c r="A262" s="25">
        <v>29</v>
      </c>
      <c r="B262" s="5">
        <v>9</v>
      </c>
      <c r="C262" s="6">
        <v>2018</v>
      </c>
      <c r="D262" s="34" t="s">
        <v>50</v>
      </c>
      <c r="E262" s="10">
        <v>0.59143280982971191</v>
      </c>
      <c r="F262" s="41">
        <v>0.37834983825683594</v>
      </c>
      <c r="G262" s="47">
        <v>0.10202612213918139</v>
      </c>
      <c r="H262" s="49" t="s">
        <v>41</v>
      </c>
      <c r="I262" s="47">
        <v>0.48459999999999998</v>
      </c>
      <c r="J262" s="47">
        <v>0.1598</v>
      </c>
      <c r="K262" s="47">
        <v>0.15670000000000001</v>
      </c>
      <c r="L262" s="47">
        <v>0.31900000000000001</v>
      </c>
      <c r="M262" s="47">
        <v>0.18600000000000003</v>
      </c>
      <c r="N262" s="47">
        <v>3.8167367207579399E-2</v>
      </c>
      <c r="O262" s="48">
        <v>0.16425000000000001</v>
      </c>
      <c r="P262" s="48">
        <v>2.7156248359888702</v>
      </c>
      <c r="Q262" s="48">
        <v>0.24733514785766603</v>
      </c>
    </row>
    <row r="263" spans="1:17" x14ac:dyDescent="0.25">
      <c r="A263" s="25">
        <v>30</v>
      </c>
      <c r="B263" s="5">
        <v>1</v>
      </c>
      <c r="C263" s="6">
        <v>2010</v>
      </c>
      <c r="D263" s="18" t="s">
        <v>51</v>
      </c>
      <c r="E263" s="8">
        <v>0.36764380000000002</v>
      </c>
      <c r="F263" s="41">
        <v>0.51549552917480468</v>
      </c>
      <c r="G263" s="47">
        <v>0.13490742840586001</v>
      </c>
      <c r="H263" s="49" t="s">
        <v>17</v>
      </c>
      <c r="I263" s="47">
        <v>0.41710000000000003</v>
      </c>
      <c r="J263" s="47">
        <v>0.10059999999999999</v>
      </c>
      <c r="K263" s="47">
        <v>0.1641</v>
      </c>
      <c r="L263" s="47">
        <v>0.152</v>
      </c>
      <c r="M263" s="47">
        <v>0.1</v>
      </c>
      <c r="N263" s="47">
        <v>2.6714428304886503E-2</v>
      </c>
      <c r="O263" s="48">
        <v>0.43479999999999996</v>
      </c>
      <c r="P263" s="48">
        <v>3.3646385517567179</v>
      </c>
      <c r="Q263" s="48">
        <v>0.43323688507080099</v>
      </c>
    </row>
    <row r="264" spans="1:17" x14ac:dyDescent="0.25">
      <c r="A264" s="25">
        <v>30</v>
      </c>
      <c r="B264" s="5">
        <v>2</v>
      </c>
      <c r="C264" s="6">
        <v>2011</v>
      </c>
      <c r="D264" s="18" t="s">
        <v>51</v>
      </c>
      <c r="E264" s="8">
        <v>0.311</v>
      </c>
      <c r="F264" s="41">
        <v>0.5088754272460938</v>
      </c>
      <c r="G264" s="47">
        <v>0.11043629611410555</v>
      </c>
      <c r="H264" s="49" t="s">
        <v>17</v>
      </c>
      <c r="I264" s="47">
        <v>0.41649999999999998</v>
      </c>
      <c r="J264" s="47">
        <v>0.1004</v>
      </c>
      <c r="K264" s="47">
        <v>0.16439999999999999</v>
      </c>
      <c r="L264" s="47">
        <v>0.10400000000000001</v>
      </c>
      <c r="M264" s="47">
        <v>0.128</v>
      </c>
      <c r="N264" s="47">
        <v>2.67788556977663E-2</v>
      </c>
      <c r="O264" s="48">
        <v>0.44366</v>
      </c>
      <c r="P264" s="48">
        <v>3.3749272624677329</v>
      </c>
      <c r="Q264" s="48">
        <v>0.44631488800048802</v>
      </c>
    </row>
    <row r="265" spans="1:17" x14ac:dyDescent="0.25">
      <c r="A265" s="25">
        <v>30</v>
      </c>
      <c r="B265" s="5">
        <v>3</v>
      </c>
      <c r="C265" s="6">
        <v>2012</v>
      </c>
      <c r="D265" s="18" t="s">
        <v>51</v>
      </c>
      <c r="E265" s="9">
        <v>0.311</v>
      </c>
      <c r="F265" s="41">
        <v>0.50496410369873046</v>
      </c>
      <c r="G265" s="47">
        <v>0.10604703771234401</v>
      </c>
      <c r="H265" s="49" t="s">
        <v>17</v>
      </c>
      <c r="I265" s="47">
        <v>0.4158</v>
      </c>
      <c r="J265" s="47">
        <v>0.10009999999999999</v>
      </c>
      <c r="K265" s="47">
        <v>0.16470000000000001</v>
      </c>
      <c r="L265" s="47">
        <v>0.109</v>
      </c>
      <c r="M265" s="47">
        <v>0.156</v>
      </c>
      <c r="N265" s="47">
        <v>2.6809295547989297E-2</v>
      </c>
      <c r="O265" s="48">
        <v>0.45246000000000003</v>
      </c>
      <c r="P265" s="48">
        <v>3.3808719303540045</v>
      </c>
      <c r="Q265" s="48">
        <v>0.46133598327636699</v>
      </c>
    </row>
    <row r="266" spans="1:17" x14ac:dyDescent="0.25">
      <c r="A266" s="25">
        <v>30</v>
      </c>
      <c r="B266" s="5">
        <v>4</v>
      </c>
      <c r="C266" s="6">
        <v>2013</v>
      </c>
      <c r="D266" s="18" t="s">
        <v>51</v>
      </c>
      <c r="E266" s="10">
        <v>0.31</v>
      </c>
      <c r="F266" s="41">
        <v>0.50055652618408208</v>
      </c>
      <c r="G266" s="47">
        <v>0.11533214941528425</v>
      </c>
      <c r="H266" s="49" t="s">
        <v>17</v>
      </c>
      <c r="I266" s="47">
        <v>0.4168</v>
      </c>
      <c r="J266" s="47">
        <v>0.10050000000000001</v>
      </c>
      <c r="K266" s="47">
        <v>0.1641</v>
      </c>
      <c r="L266" s="47">
        <v>9.5000000000000001E-2</v>
      </c>
      <c r="M266" s="47">
        <v>0.156</v>
      </c>
      <c r="N266" s="47">
        <v>2.6769079103764703E-2</v>
      </c>
      <c r="O266" s="48">
        <v>0.46118000000000003</v>
      </c>
      <c r="P266" s="48">
        <v>3.3971299138249371</v>
      </c>
      <c r="Q266" s="48">
        <v>0.54882968902587903</v>
      </c>
    </row>
    <row r="267" spans="1:17" x14ac:dyDescent="0.25">
      <c r="A267" s="25">
        <v>30</v>
      </c>
      <c r="B267" s="5">
        <v>5</v>
      </c>
      <c r="C267" s="6">
        <v>2014</v>
      </c>
      <c r="D267" s="18" t="s">
        <v>51</v>
      </c>
      <c r="E267" s="10">
        <v>0.239764</v>
      </c>
      <c r="F267" s="41">
        <v>0.4940911102294922</v>
      </c>
      <c r="G267" s="47">
        <v>0.13297005376739193</v>
      </c>
      <c r="H267" s="49" t="s">
        <v>17</v>
      </c>
      <c r="I267" s="47">
        <v>0.41770000000000002</v>
      </c>
      <c r="J267" s="47">
        <v>0.1009</v>
      </c>
      <c r="K267" s="47">
        <v>0.16350000000000001</v>
      </c>
      <c r="L267" s="47">
        <v>7.6999999999999999E-2</v>
      </c>
      <c r="M267" s="47">
        <v>0.115</v>
      </c>
      <c r="N267" s="47">
        <v>2.66500650321728E-2</v>
      </c>
      <c r="O267" s="48">
        <v>0.46982000000000002</v>
      </c>
      <c r="P267" s="48">
        <v>3.4122278930575622</v>
      </c>
      <c r="Q267" s="48">
        <v>0.445147514343262</v>
      </c>
    </row>
    <row r="268" spans="1:17" x14ac:dyDescent="0.25">
      <c r="A268" s="25">
        <v>30</v>
      </c>
      <c r="B268" s="5">
        <v>6</v>
      </c>
      <c r="C268" s="6">
        <v>2015</v>
      </c>
      <c r="D268" s="18" t="s">
        <v>51</v>
      </c>
      <c r="E268" s="10">
        <v>0.30267090000000002</v>
      </c>
      <c r="F268" s="41">
        <v>0.49120319366455079</v>
      </c>
      <c r="G268" s="47">
        <v>0.13078684477369837</v>
      </c>
      <c r="H268" s="49" t="s">
        <v>17</v>
      </c>
      <c r="I268" s="47">
        <v>0.41870000000000002</v>
      </c>
      <c r="J268" s="47">
        <v>0.1013</v>
      </c>
      <c r="K268" s="47">
        <v>0.1628</v>
      </c>
      <c r="L268" s="47">
        <v>0.129</v>
      </c>
      <c r="M268" s="47">
        <v>0.152</v>
      </c>
      <c r="N268" s="47">
        <v>2.64740607245442E-2</v>
      </c>
      <c r="O268" s="48">
        <v>0.47838000000000003</v>
      </c>
      <c r="P268" s="48">
        <v>3.4125837799829695</v>
      </c>
      <c r="Q268" s="48">
        <v>0.45608581542968801</v>
      </c>
    </row>
    <row r="269" spans="1:17" x14ac:dyDescent="0.25">
      <c r="A269" s="25">
        <v>30</v>
      </c>
      <c r="B269" s="5">
        <v>7</v>
      </c>
      <c r="C269" s="6">
        <v>2016</v>
      </c>
      <c r="D269" s="18" t="s">
        <v>51</v>
      </c>
      <c r="E269" s="10">
        <v>0.30267090000000002</v>
      </c>
      <c r="F269" s="41">
        <v>0.48957386016845705</v>
      </c>
      <c r="G269" s="47">
        <v>0.14608038856310182</v>
      </c>
      <c r="H269" s="49" t="s">
        <v>17</v>
      </c>
      <c r="I269" s="47">
        <v>0.41949999999999998</v>
      </c>
      <c r="J269" s="47">
        <v>0.1056</v>
      </c>
      <c r="K269" s="47">
        <v>0.16420000000000001</v>
      </c>
      <c r="L269" s="47">
        <v>0.13300000000000001</v>
      </c>
      <c r="M269" s="47">
        <v>0.114</v>
      </c>
      <c r="N269" s="47">
        <v>2.6276751510371999E-2</v>
      </c>
      <c r="O269" s="48">
        <v>0.48682999999999998</v>
      </c>
      <c r="P269" s="48">
        <v>3.3947693882083461</v>
      </c>
      <c r="Q269" s="48">
        <v>0.40910209655761698</v>
      </c>
    </row>
    <row r="270" spans="1:17" x14ac:dyDescent="0.25">
      <c r="A270" s="25">
        <v>30</v>
      </c>
      <c r="B270" s="5">
        <v>8</v>
      </c>
      <c r="C270" s="6">
        <v>2017</v>
      </c>
      <c r="D270" s="18" t="s">
        <v>51</v>
      </c>
      <c r="E270" s="10">
        <v>0.30267086625099182</v>
      </c>
      <c r="F270" s="41">
        <v>0.48591808319091795</v>
      </c>
      <c r="G270" s="47">
        <v>0.1285202980761983</v>
      </c>
      <c r="H270" s="49" t="s">
        <v>17</v>
      </c>
      <c r="I270" s="47">
        <v>0.42030000000000001</v>
      </c>
      <c r="J270" s="47">
        <v>0.1099</v>
      </c>
      <c r="K270" s="47">
        <v>0.16550000000000001</v>
      </c>
      <c r="L270" s="47">
        <v>0.124</v>
      </c>
      <c r="M270" s="47">
        <v>0.13800000000000001</v>
      </c>
      <c r="N270" s="47">
        <v>2.6076670544012498E-2</v>
      </c>
      <c r="O270" s="48">
        <v>0.49518999999999996</v>
      </c>
      <c r="P270" s="48">
        <v>3.3876945023338476</v>
      </c>
      <c r="Q270" s="48">
        <v>0.43259395599365247</v>
      </c>
    </row>
    <row r="271" spans="1:17" x14ac:dyDescent="0.25">
      <c r="A271" s="25">
        <v>30</v>
      </c>
      <c r="B271" s="5">
        <v>9</v>
      </c>
      <c r="C271" s="6">
        <v>2018</v>
      </c>
      <c r="D271" s="18" t="s">
        <v>51</v>
      </c>
      <c r="E271" s="10">
        <v>0.29443246126174927</v>
      </c>
      <c r="F271" s="41">
        <v>0.4816707992553711</v>
      </c>
      <c r="G271" s="47">
        <v>0.10246581301239938</v>
      </c>
      <c r="H271" s="49" t="s">
        <v>17</v>
      </c>
      <c r="I271" s="47">
        <v>0.42109999999999997</v>
      </c>
      <c r="J271" s="47">
        <v>0.1142</v>
      </c>
      <c r="K271" s="47">
        <v>0.16689999999999999</v>
      </c>
      <c r="L271" s="47">
        <v>0.124</v>
      </c>
      <c r="M271" s="47">
        <v>0.11900000000000001</v>
      </c>
      <c r="N271" s="47">
        <v>2.5865513030749999E-2</v>
      </c>
      <c r="O271" s="48">
        <v>0.50344</v>
      </c>
      <c r="P271" s="48">
        <v>3.3859240284176595</v>
      </c>
      <c r="Q271" s="48">
        <v>0.42168449401855496</v>
      </c>
    </row>
    <row r="272" spans="1:17" x14ac:dyDescent="0.25">
      <c r="A272" s="25">
        <v>31</v>
      </c>
      <c r="B272" s="5">
        <v>1</v>
      </c>
      <c r="C272" s="6">
        <v>2010</v>
      </c>
      <c r="D272" s="35" t="s">
        <v>52</v>
      </c>
      <c r="E272" s="8">
        <v>0.4425673</v>
      </c>
      <c r="F272" s="41">
        <v>0.37271675109863284</v>
      </c>
      <c r="G272" s="47">
        <v>0.11491303909602607</v>
      </c>
      <c r="H272" s="49" t="s">
        <v>41</v>
      </c>
      <c r="I272" s="47">
        <v>0.58379999999999999</v>
      </c>
      <c r="J272" s="47">
        <v>0.23449999999999999</v>
      </c>
      <c r="K272" s="47">
        <v>0.1139</v>
      </c>
      <c r="L272" s="47">
        <v>0.68099999999999994</v>
      </c>
      <c r="M272" s="47">
        <v>0.49299999999999999</v>
      </c>
      <c r="N272" s="47">
        <v>2.5888500806493502E-2</v>
      </c>
      <c r="O272" s="48">
        <v>0.16934000000000002</v>
      </c>
      <c r="P272" s="48">
        <v>2.7659451195371907</v>
      </c>
      <c r="Q272" s="48">
        <v>0.32402908325195301</v>
      </c>
    </row>
    <row r="273" spans="1:17" x14ac:dyDescent="0.25">
      <c r="A273" s="25">
        <v>31</v>
      </c>
      <c r="B273" s="5">
        <v>2</v>
      </c>
      <c r="C273" s="6">
        <v>2011</v>
      </c>
      <c r="D273" s="35" t="s">
        <v>52</v>
      </c>
      <c r="E273" s="8">
        <v>0.443</v>
      </c>
      <c r="F273" s="41">
        <v>0.36736328125000001</v>
      </c>
      <c r="G273" s="47">
        <v>0.13266031975478965</v>
      </c>
      <c r="H273" s="49" t="s">
        <v>41</v>
      </c>
      <c r="I273" s="47">
        <v>0.57710000000000006</v>
      </c>
      <c r="J273" s="47">
        <v>0.23130000000000001</v>
      </c>
      <c r="K273" s="47">
        <v>0.1168</v>
      </c>
      <c r="L273" s="47">
        <v>0.68200000000000005</v>
      </c>
      <c r="M273" s="47">
        <v>0.55500000000000005</v>
      </c>
      <c r="N273" s="47">
        <v>2.4985228270333001E-2</v>
      </c>
      <c r="O273" s="48">
        <v>0.16937999999999998</v>
      </c>
      <c r="P273" s="48">
        <v>2.7885498822785597</v>
      </c>
      <c r="Q273" s="48">
        <v>0.366210098266602</v>
      </c>
    </row>
    <row r="274" spans="1:17" x14ac:dyDescent="0.25">
      <c r="A274" s="25">
        <v>31</v>
      </c>
      <c r="B274" s="5">
        <v>3</v>
      </c>
      <c r="C274" s="6">
        <v>2012</v>
      </c>
      <c r="D274" s="35" t="s">
        <v>52</v>
      </c>
      <c r="E274" s="9">
        <v>0.443</v>
      </c>
      <c r="F274" s="41">
        <v>0.36707141876220706</v>
      </c>
      <c r="G274" s="47">
        <v>0.1575152028700105</v>
      </c>
      <c r="H274" s="49" t="s">
        <v>41</v>
      </c>
      <c r="I274" s="47">
        <v>0.57040000000000002</v>
      </c>
      <c r="J274" s="47">
        <v>0.2281</v>
      </c>
      <c r="K274" s="47">
        <v>0.1197</v>
      </c>
      <c r="L274" s="47">
        <v>0.71599999999999997</v>
      </c>
      <c r="M274" s="47">
        <v>0.52100000000000002</v>
      </c>
      <c r="N274" s="47">
        <v>2.4597986127551697E-2</v>
      </c>
      <c r="O274" s="48">
        <v>0.16943000000000003</v>
      </c>
      <c r="P274" s="48">
        <v>2.8141495212464136</v>
      </c>
      <c r="Q274" s="48">
        <v>0.39662769317627</v>
      </c>
    </row>
    <row r="275" spans="1:17" x14ac:dyDescent="0.25">
      <c r="A275" s="25">
        <v>31</v>
      </c>
      <c r="B275" s="5">
        <v>4</v>
      </c>
      <c r="C275" s="6">
        <v>2013</v>
      </c>
      <c r="D275" s="35" t="s">
        <v>52</v>
      </c>
      <c r="E275" s="10">
        <v>0.35</v>
      </c>
      <c r="F275" s="41">
        <v>0.36539569854736326</v>
      </c>
      <c r="G275" s="47">
        <v>0.16216479365695752</v>
      </c>
      <c r="H275" s="49" t="s">
        <v>41</v>
      </c>
      <c r="I275" s="47">
        <v>0.56369999999999998</v>
      </c>
      <c r="J275" s="47">
        <v>0.22489999999999999</v>
      </c>
      <c r="K275" s="47">
        <v>0.1226</v>
      </c>
      <c r="L275" s="47">
        <v>0.72</v>
      </c>
      <c r="M275" s="47">
        <v>0.54</v>
      </c>
      <c r="N275" s="47">
        <v>2.4519506968971601E-2</v>
      </c>
      <c r="O275" s="48">
        <v>0.16946999999999998</v>
      </c>
      <c r="P275" s="48">
        <v>2.8237406894866881</v>
      </c>
      <c r="Q275" s="48">
        <v>0.315658397674561</v>
      </c>
    </row>
    <row r="276" spans="1:17" x14ac:dyDescent="0.25">
      <c r="A276" s="25">
        <v>31</v>
      </c>
      <c r="B276" s="5">
        <v>5</v>
      </c>
      <c r="C276" s="6">
        <v>2014</v>
      </c>
      <c r="D276" s="35" t="s">
        <v>52</v>
      </c>
      <c r="E276" s="10">
        <v>0.35022399999999998</v>
      </c>
      <c r="F276" s="41">
        <v>0.36686344146728517</v>
      </c>
      <c r="G276" s="47">
        <v>0.17630396151849287</v>
      </c>
      <c r="H276" s="49" t="s">
        <v>41</v>
      </c>
      <c r="I276" s="47">
        <v>0.55590000000000006</v>
      </c>
      <c r="J276" s="47">
        <v>0.2195</v>
      </c>
      <c r="K276" s="47">
        <v>0.1237</v>
      </c>
      <c r="L276" s="47">
        <v>0.755</v>
      </c>
      <c r="M276" s="47">
        <v>0.52900000000000003</v>
      </c>
      <c r="N276" s="47">
        <v>2.4855257568097401E-2</v>
      </c>
      <c r="O276" s="48">
        <v>0.16966999999999999</v>
      </c>
      <c r="P276" s="48">
        <v>2.8392330844402349</v>
      </c>
      <c r="Q276" s="48">
        <v>0.41821868896484404</v>
      </c>
    </row>
    <row r="277" spans="1:17" x14ac:dyDescent="0.25">
      <c r="A277" s="25">
        <v>31</v>
      </c>
      <c r="B277" s="5">
        <v>6</v>
      </c>
      <c r="C277" s="6">
        <v>2015</v>
      </c>
      <c r="D277" s="35" t="s">
        <v>52</v>
      </c>
      <c r="E277" s="12">
        <v>0.35022350000000002</v>
      </c>
      <c r="F277" s="41">
        <v>0.36114624023437503</v>
      </c>
      <c r="G277" s="47">
        <v>0.20999707903327239</v>
      </c>
      <c r="H277" s="49" t="s">
        <v>41</v>
      </c>
      <c r="I277" s="47">
        <v>0.54359999999999997</v>
      </c>
      <c r="J277" s="47">
        <v>0.20610000000000001</v>
      </c>
      <c r="K277" s="47">
        <v>0.12609999999999999</v>
      </c>
      <c r="L277" s="47">
        <v>0.70499999999999996</v>
      </c>
      <c r="M277" s="47">
        <v>0.48599999999999999</v>
      </c>
      <c r="N277" s="47">
        <v>2.54270036203703E-2</v>
      </c>
      <c r="O277" s="48">
        <v>0.17004000000000002</v>
      </c>
      <c r="P277" s="48">
        <v>2.86569522269625</v>
      </c>
      <c r="Q277" s="48">
        <v>0.39409900665283204</v>
      </c>
    </row>
    <row r="278" spans="1:17" x14ac:dyDescent="0.25">
      <c r="A278" s="25">
        <v>31</v>
      </c>
      <c r="B278" s="5">
        <v>7</v>
      </c>
      <c r="C278" s="6">
        <v>2016</v>
      </c>
      <c r="D278" s="35" t="s">
        <v>52</v>
      </c>
      <c r="E278" s="10">
        <v>0.2586736</v>
      </c>
      <c r="F278" s="41">
        <v>0.35726615905761716</v>
      </c>
      <c r="G278" s="47">
        <v>0.20475172421464113</v>
      </c>
      <c r="H278" s="49" t="s">
        <v>41</v>
      </c>
      <c r="I278" s="47">
        <v>0.53360000000000007</v>
      </c>
      <c r="J278" s="47">
        <v>0.1968</v>
      </c>
      <c r="K278" s="47">
        <v>0.12790000000000001</v>
      </c>
      <c r="L278" s="47">
        <v>0.70499999999999996</v>
      </c>
      <c r="M278" s="47">
        <v>0.53799999999999992</v>
      </c>
      <c r="N278" s="47">
        <v>2.6024940114545002E-2</v>
      </c>
      <c r="O278" s="48">
        <v>0.17056000000000002</v>
      </c>
      <c r="P278" s="48">
        <v>2.8805885247009453</v>
      </c>
      <c r="Q278" s="48">
        <v>0.38506240844726597</v>
      </c>
    </row>
    <row r="279" spans="1:17" x14ac:dyDescent="0.25">
      <c r="A279" s="25">
        <v>31</v>
      </c>
      <c r="B279" s="5">
        <v>8</v>
      </c>
      <c r="C279" s="6">
        <v>2017</v>
      </c>
      <c r="D279" s="35" t="s">
        <v>52</v>
      </c>
      <c r="E279" s="10">
        <v>0.25867360830307007</v>
      </c>
      <c r="F279" s="41">
        <v>0.35111095428466799</v>
      </c>
      <c r="G279" s="47">
        <v>0.20594411200892682</v>
      </c>
      <c r="H279" s="49" t="s">
        <v>41</v>
      </c>
      <c r="I279" s="47">
        <v>0.53439999999999999</v>
      </c>
      <c r="J279" s="47">
        <v>0.19819999999999999</v>
      </c>
      <c r="K279" s="47">
        <v>0.12770000000000001</v>
      </c>
      <c r="L279" s="47">
        <v>0.71400000000000008</v>
      </c>
      <c r="M279" s="47">
        <v>0.60499999999999998</v>
      </c>
      <c r="N279" s="47">
        <v>2.6397624528126398E-2</v>
      </c>
      <c r="O279" s="48">
        <v>0.17125000000000001</v>
      </c>
      <c r="P279" s="48">
        <v>2.8870933503642098</v>
      </c>
      <c r="Q279" s="48">
        <v>0.39691211700439505</v>
      </c>
    </row>
    <row r="280" spans="1:17" x14ac:dyDescent="0.25">
      <c r="A280" s="25">
        <v>31</v>
      </c>
      <c r="B280" s="5">
        <v>9</v>
      </c>
      <c r="C280" s="6">
        <v>2018</v>
      </c>
      <c r="D280" s="35" t="s">
        <v>52</v>
      </c>
      <c r="E280" s="10">
        <v>0.266088336706161</v>
      </c>
      <c r="F280" s="41">
        <v>0.34413574218749998</v>
      </c>
      <c r="G280" s="47">
        <v>0.21399884883840578</v>
      </c>
      <c r="H280" s="49" t="s">
        <v>41</v>
      </c>
      <c r="I280" s="47">
        <v>0.53360000000000007</v>
      </c>
      <c r="J280" s="47">
        <v>0.1968</v>
      </c>
      <c r="K280" s="47">
        <v>0.12790000000000001</v>
      </c>
      <c r="L280" s="47">
        <v>0.69</v>
      </c>
      <c r="M280" s="47">
        <v>0.54799999999999993</v>
      </c>
      <c r="N280" s="47">
        <v>2.6440607834832697E-2</v>
      </c>
      <c r="O280" s="48">
        <v>0.17210999999999999</v>
      </c>
      <c r="P280" s="48">
        <v>2.9125294023740338</v>
      </c>
      <c r="Q280" s="48">
        <v>0.41179691314697303</v>
      </c>
    </row>
    <row r="281" spans="1:17" x14ac:dyDescent="0.25">
      <c r="A281" s="25">
        <v>32</v>
      </c>
      <c r="B281" s="5">
        <v>1</v>
      </c>
      <c r="C281" s="6">
        <v>2010</v>
      </c>
      <c r="D281" s="24" t="s">
        <v>53</v>
      </c>
      <c r="E281" s="8">
        <v>0.236401</v>
      </c>
      <c r="F281" s="41"/>
      <c r="G281" s="47">
        <v>0.39185941628813231</v>
      </c>
      <c r="H281" s="49" t="s">
        <v>17</v>
      </c>
      <c r="I281" s="47">
        <v>0.3866</v>
      </c>
      <c r="J281" s="47">
        <v>8.7900000000000006E-2</v>
      </c>
      <c r="K281" s="47">
        <v>0.18990000000000001</v>
      </c>
      <c r="L281" s="49"/>
      <c r="M281" s="49"/>
      <c r="N281" s="47">
        <v>2.52364978563294E-2</v>
      </c>
      <c r="O281" s="48">
        <v>0.64951999999999999</v>
      </c>
      <c r="P281" s="48">
        <v>3.085058649509357</v>
      </c>
      <c r="Q281" s="48">
        <v>0.50173919677734402</v>
      </c>
    </row>
    <row r="282" spans="1:17" x14ac:dyDescent="0.25">
      <c r="A282" s="25">
        <v>32</v>
      </c>
      <c r="B282" s="5">
        <v>2</v>
      </c>
      <c r="C282" s="6">
        <v>2011</v>
      </c>
      <c r="D282" s="24" t="s">
        <v>53</v>
      </c>
      <c r="E282" s="8">
        <v>0.158</v>
      </c>
      <c r="F282" s="41"/>
      <c r="G282" s="47">
        <v>0.3974666235321106</v>
      </c>
      <c r="H282" s="49" t="s">
        <v>17</v>
      </c>
      <c r="I282" s="47">
        <v>0.40279999999999999</v>
      </c>
      <c r="J282" s="47">
        <v>9.7900000000000001E-2</v>
      </c>
      <c r="K282" s="47">
        <v>0.18290000000000001</v>
      </c>
      <c r="L282" s="49"/>
      <c r="M282" s="49"/>
      <c r="N282" s="47">
        <v>2.27418932025697E-2</v>
      </c>
      <c r="O282" s="48">
        <v>0.66063999999999989</v>
      </c>
      <c r="P282" s="48">
        <v>3.0845624456197149</v>
      </c>
      <c r="Q282" s="48">
        <v>0.48716899871826203</v>
      </c>
    </row>
    <row r="283" spans="1:17" x14ac:dyDescent="0.25">
      <c r="A283" s="25">
        <v>32</v>
      </c>
      <c r="B283" s="5">
        <v>3</v>
      </c>
      <c r="C283" s="6">
        <v>2012</v>
      </c>
      <c r="D283" s="24" t="s">
        <v>53</v>
      </c>
      <c r="E283" s="19">
        <v>0.158</v>
      </c>
      <c r="F283" s="41"/>
      <c r="G283" s="47">
        <v>0.41003161299522956</v>
      </c>
      <c r="H283" s="49" t="s">
        <v>17</v>
      </c>
      <c r="I283" s="47">
        <v>0.41899999999999998</v>
      </c>
      <c r="J283" s="47">
        <v>0.1079</v>
      </c>
      <c r="K283" s="47">
        <v>0.1759</v>
      </c>
      <c r="L283" s="49"/>
      <c r="M283" s="49"/>
      <c r="N283" s="47">
        <v>2.0772236359715E-2</v>
      </c>
      <c r="O283" s="48">
        <v>0.67159999999999997</v>
      </c>
      <c r="P283" s="48">
        <v>3.0883822463704109</v>
      </c>
      <c r="Q283" s="48">
        <v>0.56172100067138697</v>
      </c>
    </row>
    <row r="284" spans="1:17" x14ac:dyDescent="0.25">
      <c r="A284" s="25">
        <v>32</v>
      </c>
      <c r="B284" s="5">
        <v>4</v>
      </c>
      <c r="C284" s="6">
        <v>2013</v>
      </c>
      <c r="D284" s="24" t="s">
        <v>53</v>
      </c>
      <c r="E284" s="10">
        <v>0.154</v>
      </c>
      <c r="F284" s="41"/>
      <c r="G284" s="47">
        <v>0.36325899113117288</v>
      </c>
      <c r="H284" s="49" t="s">
        <v>17</v>
      </c>
      <c r="I284" s="47">
        <v>0.43509999999999999</v>
      </c>
      <c r="J284" s="47">
        <v>0.1179</v>
      </c>
      <c r="K284" s="47">
        <v>0.16889999999999999</v>
      </c>
      <c r="L284" s="49"/>
      <c r="M284" s="49"/>
      <c r="N284" s="47">
        <v>1.93556125383945E-2</v>
      </c>
      <c r="O284" s="48">
        <v>0.68208000000000002</v>
      </c>
      <c r="P284" s="48">
        <v>3.101645442628099</v>
      </c>
      <c r="Q284" s="48">
        <v>0.632053604125977</v>
      </c>
    </row>
    <row r="285" spans="1:17" x14ac:dyDescent="0.25">
      <c r="A285" s="25">
        <v>32</v>
      </c>
      <c r="B285" s="5">
        <v>5</v>
      </c>
      <c r="C285" s="6">
        <v>2014</v>
      </c>
      <c r="D285" s="24" t="s">
        <v>53</v>
      </c>
      <c r="E285" s="10">
        <v>0.154004</v>
      </c>
      <c r="F285" s="41"/>
      <c r="G285" s="47">
        <v>0.32744170038186804</v>
      </c>
      <c r="H285" s="49" t="s">
        <v>17</v>
      </c>
      <c r="I285" s="47">
        <v>0.45129999999999998</v>
      </c>
      <c r="J285" s="47">
        <v>0.1278</v>
      </c>
      <c r="K285" s="47">
        <v>0.16189999999999999</v>
      </c>
      <c r="L285" s="49"/>
      <c r="M285" s="49"/>
      <c r="N285" s="47">
        <v>1.88297041207015E-2</v>
      </c>
      <c r="O285" s="48">
        <v>0.69212999999999991</v>
      </c>
      <c r="P285" s="48">
        <v>3.1143845932499494</v>
      </c>
      <c r="Q285" s="48">
        <v>0.74204780578613294</v>
      </c>
    </row>
    <row r="286" spans="1:17" x14ac:dyDescent="0.25">
      <c r="A286" s="25">
        <v>32</v>
      </c>
      <c r="B286" s="5">
        <v>6</v>
      </c>
      <c r="C286" s="6">
        <v>2015</v>
      </c>
      <c r="D286" s="24" t="s">
        <v>53</v>
      </c>
      <c r="E286" s="10">
        <v>0.15400430000000001</v>
      </c>
      <c r="F286" s="41"/>
      <c r="G286" s="47">
        <v>0.33256829323445752</v>
      </c>
      <c r="H286" s="49" t="s">
        <v>17</v>
      </c>
      <c r="I286" s="47">
        <v>0.46750000000000003</v>
      </c>
      <c r="J286" s="47">
        <v>0.13780000000000001</v>
      </c>
      <c r="K286" s="47">
        <v>0.15490000000000001</v>
      </c>
      <c r="L286" s="49"/>
      <c r="M286" s="49"/>
      <c r="N286" s="47">
        <v>1.8787594002952098E-2</v>
      </c>
      <c r="O286" s="48">
        <v>0.70174000000000003</v>
      </c>
      <c r="P286" s="48">
        <v>3.1133113168553916</v>
      </c>
      <c r="Q286" s="48">
        <v>0.82376380920410197</v>
      </c>
    </row>
    <row r="287" spans="1:17" x14ac:dyDescent="0.25">
      <c r="A287" s="25">
        <v>32</v>
      </c>
      <c r="B287" s="5">
        <v>7</v>
      </c>
      <c r="C287" s="6">
        <v>2016</v>
      </c>
      <c r="D287" s="24" t="s">
        <v>53</v>
      </c>
      <c r="E287" s="10">
        <v>0.15400430000000001</v>
      </c>
      <c r="F287" s="41"/>
      <c r="G287" s="47">
        <v>0.31499405602187319</v>
      </c>
      <c r="H287" s="49" t="s">
        <v>17</v>
      </c>
      <c r="I287" s="47">
        <v>0.4839</v>
      </c>
      <c r="J287" s="47">
        <v>0.14810000000000001</v>
      </c>
      <c r="K287" s="47">
        <v>0.14779999999999999</v>
      </c>
      <c r="L287" s="49"/>
      <c r="M287" s="49"/>
      <c r="N287" s="47">
        <v>1.87856316577205E-2</v>
      </c>
      <c r="O287" s="48">
        <v>0.71092</v>
      </c>
      <c r="P287" s="48">
        <v>3.1279252309137968</v>
      </c>
      <c r="Q287" s="48">
        <v>0.83867012023925791</v>
      </c>
    </row>
    <row r="288" spans="1:17" x14ac:dyDescent="0.25">
      <c r="A288" s="25">
        <v>32</v>
      </c>
      <c r="B288" s="5">
        <v>8</v>
      </c>
      <c r="C288" s="6">
        <v>2017</v>
      </c>
      <c r="D288" s="24" t="s">
        <v>53</v>
      </c>
      <c r="E288" s="10">
        <v>8.1452712416648865E-2</v>
      </c>
      <c r="F288" s="41"/>
      <c r="G288" s="47">
        <v>0.29438708652203077</v>
      </c>
      <c r="H288" s="49" t="s">
        <v>17</v>
      </c>
      <c r="I288" s="47">
        <v>0.50009999999999999</v>
      </c>
      <c r="J288" s="47">
        <v>0.15820000000000001</v>
      </c>
      <c r="K288" s="47">
        <v>0.14080000000000001</v>
      </c>
      <c r="L288" s="49"/>
      <c r="M288" s="49"/>
      <c r="N288" s="47">
        <v>1.8840109102256298E-2</v>
      </c>
      <c r="O288" s="48">
        <v>0.71967999999999999</v>
      </c>
      <c r="P288" s="48">
        <v>3.1384902832379233</v>
      </c>
      <c r="Q288" s="48">
        <v>0.90380378723144505</v>
      </c>
    </row>
    <row r="289" spans="1:17" x14ac:dyDescent="0.25">
      <c r="A289" s="25">
        <v>32</v>
      </c>
      <c r="B289" s="5">
        <v>9</v>
      </c>
      <c r="C289" s="6">
        <v>2018</v>
      </c>
      <c r="D289" s="24" t="s">
        <v>53</v>
      </c>
      <c r="E289" s="10">
        <v>9.2260770499706268E-2</v>
      </c>
      <c r="F289" s="41"/>
      <c r="G289" s="47">
        <v>0.24771090762313236</v>
      </c>
      <c r="H289" s="49" t="s">
        <v>17</v>
      </c>
      <c r="I289" s="47">
        <v>0.49990000000000001</v>
      </c>
      <c r="J289" s="47">
        <v>0.1578</v>
      </c>
      <c r="K289" s="47">
        <v>0.1409</v>
      </c>
      <c r="L289" s="49"/>
      <c r="M289" s="49"/>
      <c r="N289" s="47">
        <v>1.8875614821411698E-2</v>
      </c>
      <c r="O289" s="48">
        <v>0.72802999999999995</v>
      </c>
      <c r="P289" s="48">
        <v>3.1504013353107956</v>
      </c>
      <c r="Q289" s="48">
        <v>0.83649561107359904</v>
      </c>
    </row>
    <row r="290" spans="1:17" x14ac:dyDescent="0.25">
      <c r="A290" s="25">
        <v>33</v>
      </c>
      <c r="B290" s="5">
        <v>1</v>
      </c>
      <c r="C290" s="6">
        <v>2010</v>
      </c>
      <c r="D290" s="18" t="s">
        <v>54</v>
      </c>
      <c r="E290" s="8">
        <v>0.38415650000000001</v>
      </c>
      <c r="F290" s="41">
        <v>0.45034786224365236</v>
      </c>
      <c r="G290" s="47">
        <v>0.21313747920365578</v>
      </c>
      <c r="H290" s="49" t="s">
        <v>28</v>
      </c>
      <c r="I290" s="47">
        <v>0.47010000000000002</v>
      </c>
      <c r="J290" s="47">
        <v>0.13089999999999999</v>
      </c>
      <c r="K290" s="47">
        <v>0.14399999999999999</v>
      </c>
      <c r="L290" s="47">
        <v>0.30499999999999999</v>
      </c>
      <c r="M290" s="47">
        <v>0.33500000000000002</v>
      </c>
      <c r="N290" s="47">
        <v>2.7431278774902302E-2</v>
      </c>
      <c r="O290" s="48">
        <v>0.43773000000000001</v>
      </c>
      <c r="P290" s="48">
        <v>3.0620305168892648</v>
      </c>
      <c r="Q290" s="48">
        <v>0.36972530364990197</v>
      </c>
    </row>
    <row r="291" spans="1:17" x14ac:dyDescent="0.25">
      <c r="A291" s="25">
        <v>33</v>
      </c>
      <c r="B291" s="5">
        <v>2</v>
      </c>
      <c r="C291" s="6">
        <v>2011</v>
      </c>
      <c r="D291" s="18" t="s">
        <v>54</v>
      </c>
      <c r="E291" s="8">
        <v>0.38400000000000001</v>
      </c>
      <c r="F291" s="41">
        <v>0.46084041595458985</v>
      </c>
      <c r="G291" s="47">
        <v>0.23874442673665533</v>
      </c>
      <c r="H291" s="49" t="s">
        <v>28</v>
      </c>
      <c r="I291" s="47">
        <v>0.4718</v>
      </c>
      <c r="J291" s="47">
        <v>0.13039999999999999</v>
      </c>
      <c r="K291" s="47">
        <v>0.14330000000000001</v>
      </c>
      <c r="L291" s="47">
        <v>0.379</v>
      </c>
      <c r="M291" s="47">
        <v>0.39299999999999996</v>
      </c>
      <c r="N291" s="47">
        <v>2.7667570258594999E-2</v>
      </c>
      <c r="O291" s="48">
        <v>0.44188000000000005</v>
      </c>
      <c r="P291" s="48">
        <v>3.0568074970989518</v>
      </c>
      <c r="Q291" s="48">
        <v>0.42382129669189506</v>
      </c>
    </row>
    <row r="292" spans="1:17" x14ac:dyDescent="0.25">
      <c r="A292" s="25">
        <v>33</v>
      </c>
      <c r="B292" s="5">
        <v>3</v>
      </c>
      <c r="C292" s="6">
        <v>2012</v>
      </c>
      <c r="D292" s="18" t="s">
        <v>54</v>
      </c>
      <c r="E292" s="9">
        <v>0.38400000000000001</v>
      </c>
      <c r="F292" s="41">
        <v>0.45521358489990232</v>
      </c>
      <c r="G292" s="47">
        <v>0.24432481377244922</v>
      </c>
      <c r="H292" s="49" t="s">
        <v>28</v>
      </c>
      <c r="I292" s="47">
        <v>0.47220000000000001</v>
      </c>
      <c r="J292" s="47">
        <v>0.13300000000000001</v>
      </c>
      <c r="K292" s="47">
        <v>0.1444</v>
      </c>
      <c r="L292" s="47">
        <v>0.49299999999999999</v>
      </c>
      <c r="M292" s="47">
        <v>0.39299999999999996</v>
      </c>
      <c r="N292" s="47">
        <v>2.7856145954846801E-2</v>
      </c>
      <c r="O292" s="48">
        <v>0.44603000000000004</v>
      </c>
      <c r="P292" s="48">
        <v>3.0622271767581042</v>
      </c>
      <c r="Q292" s="48">
        <v>0.46180419921874999</v>
      </c>
    </row>
    <row r="293" spans="1:17" x14ac:dyDescent="0.25">
      <c r="A293" s="25">
        <v>33</v>
      </c>
      <c r="B293" s="5">
        <v>4</v>
      </c>
      <c r="C293" s="6">
        <v>2013</v>
      </c>
      <c r="D293" s="18" t="s">
        <v>54</v>
      </c>
      <c r="E293" s="10">
        <v>0.439</v>
      </c>
      <c r="F293" s="41">
        <v>0.45512741088867187</v>
      </c>
      <c r="G293" s="47">
        <v>0.26316513136267528</v>
      </c>
      <c r="H293" s="49" t="s">
        <v>28</v>
      </c>
      <c r="I293" s="47">
        <v>0.47270000000000001</v>
      </c>
      <c r="J293" s="47">
        <v>0.1356</v>
      </c>
      <c r="K293" s="47">
        <v>0.14549999999999999</v>
      </c>
      <c r="L293" s="47">
        <v>0.53100000000000003</v>
      </c>
      <c r="M293" s="47">
        <v>0.40799999999999997</v>
      </c>
      <c r="N293" s="47">
        <v>2.79913166148371E-2</v>
      </c>
      <c r="O293" s="48">
        <v>0.45018999999999998</v>
      </c>
      <c r="P293" s="48">
        <v>3.0597095168404627</v>
      </c>
      <c r="Q293" s="48">
        <v>0.48845371246337899</v>
      </c>
    </row>
    <row r="294" spans="1:17" x14ac:dyDescent="0.25">
      <c r="A294" s="25">
        <v>33</v>
      </c>
      <c r="B294" s="5">
        <v>5</v>
      </c>
      <c r="C294" s="6">
        <v>2014</v>
      </c>
      <c r="D294" s="18" t="s">
        <v>54</v>
      </c>
      <c r="E294" s="10">
        <v>0.438581</v>
      </c>
      <c r="F294" s="41">
        <v>0.44658882141113282</v>
      </c>
      <c r="G294" s="47">
        <v>0.27316937568419419</v>
      </c>
      <c r="H294" s="49" t="s">
        <v>28</v>
      </c>
      <c r="I294" s="47">
        <v>0.47320000000000001</v>
      </c>
      <c r="J294" s="47">
        <v>0.13819999999999999</v>
      </c>
      <c r="K294" s="47">
        <v>0.14660000000000001</v>
      </c>
      <c r="L294" s="47">
        <v>0.58700000000000008</v>
      </c>
      <c r="M294" s="47">
        <v>0.38900000000000001</v>
      </c>
      <c r="N294" s="47">
        <v>2.8066987285673098E-2</v>
      </c>
      <c r="O294" s="48">
        <v>0.45435999999999999</v>
      </c>
      <c r="P294" s="48">
        <v>3.0721758703336248</v>
      </c>
      <c r="Q294" s="48">
        <v>0.50801761627197306</v>
      </c>
    </row>
    <row r="295" spans="1:17" x14ac:dyDescent="0.25">
      <c r="A295" s="25">
        <v>33</v>
      </c>
      <c r="B295" s="5">
        <v>6</v>
      </c>
      <c r="C295" s="6">
        <v>2015</v>
      </c>
      <c r="D295" s="18" t="s">
        <v>54</v>
      </c>
      <c r="E295" s="12">
        <v>0.30867240000000001</v>
      </c>
      <c r="F295" s="41">
        <v>0.43603118896484377</v>
      </c>
      <c r="G295" s="47">
        <v>0.27304686269201656</v>
      </c>
      <c r="H295" s="49" t="s">
        <v>28</v>
      </c>
      <c r="I295" s="47">
        <v>0.47370000000000001</v>
      </c>
      <c r="J295" s="47">
        <v>0.14080000000000001</v>
      </c>
      <c r="K295" s="47">
        <v>0.1477</v>
      </c>
      <c r="L295" s="47">
        <v>0.57600000000000007</v>
      </c>
      <c r="M295" s="47">
        <v>0.35200000000000004</v>
      </c>
      <c r="N295" s="47">
        <v>2.8082903621563599E-2</v>
      </c>
      <c r="O295" s="48">
        <v>0.45862000000000003</v>
      </c>
      <c r="P295" s="48">
        <v>3.0856494760067892</v>
      </c>
      <c r="Q295" s="48">
        <v>0.51282730102539098</v>
      </c>
    </row>
    <row r="296" spans="1:17" x14ac:dyDescent="0.25">
      <c r="A296" s="25">
        <v>33</v>
      </c>
      <c r="B296" s="5">
        <v>7</v>
      </c>
      <c r="C296" s="6">
        <v>2016</v>
      </c>
      <c r="D296" s="18" t="s">
        <v>54</v>
      </c>
      <c r="E296" s="10">
        <v>0.30867240000000001</v>
      </c>
      <c r="F296" s="41">
        <v>0.42938549041748048</v>
      </c>
      <c r="G296" s="47">
        <v>0.27798279873530185</v>
      </c>
      <c r="H296" s="49" t="s">
        <v>28</v>
      </c>
      <c r="I296" s="47">
        <v>0.47420000000000001</v>
      </c>
      <c r="J296" s="47">
        <v>0.1434</v>
      </c>
      <c r="K296" s="47">
        <v>0.14879999999999999</v>
      </c>
      <c r="L296" s="47">
        <v>0.56200000000000006</v>
      </c>
      <c r="M296" s="47">
        <v>0.34299999999999997</v>
      </c>
      <c r="N296" s="47">
        <v>2.8073296674888101E-2</v>
      </c>
      <c r="O296" s="48">
        <v>0.46295999999999998</v>
      </c>
      <c r="P296" s="48">
        <v>3.0994765884077</v>
      </c>
      <c r="Q296" s="48">
        <v>0.51042245864868196</v>
      </c>
    </row>
    <row r="297" spans="1:17" x14ac:dyDescent="0.25">
      <c r="A297" s="25">
        <v>33</v>
      </c>
      <c r="B297" s="5">
        <v>8</v>
      </c>
      <c r="C297" s="6">
        <v>2017</v>
      </c>
      <c r="D297" s="18" t="s">
        <v>54</v>
      </c>
      <c r="E297" s="10">
        <v>0.33065497875213601</v>
      </c>
      <c r="F297" s="41">
        <v>0.42136493682861326</v>
      </c>
      <c r="G297" s="47">
        <v>0.29664784802757033</v>
      </c>
      <c r="H297" s="49" t="s">
        <v>28</v>
      </c>
      <c r="I297" s="47">
        <v>0.47470000000000001</v>
      </c>
      <c r="J297" s="47">
        <v>0.14599999999999999</v>
      </c>
      <c r="K297" s="47">
        <v>0.14990000000000001</v>
      </c>
      <c r="L297" s="47">
        <v>0.52900000000000003</v>
      </c>
      <c r="M297" s="47">
        <v>0.38600000000000001</v>
      </c>
      <c r="N297" s="47">
        <v>2.8005766022630101E-2</v>
      </c>
      <c r="O297" s="48">
        <v>0.46740000000000004</v>
      </c>
      <c r="P297" s="48">
        <v>3.1179700228940312</v>
      </c>
      <c r="Q297" s="48">
        <v>0.51162487983703653</v>
      </c>
    </row>
    <row r="298" spans="1:17" x14ac:dyDescent="0.25">
      <c r="A298" s="25">
        <v>33</v>
      </c>
      <c r="B298" s="5">
        <v>9</v>
      </c>
      <c r="C298" s="6">
        <v>2018</v>
      </c>
      <c r="D298" s="18" t="s">
        <v>54</v>
      </c>
      <c r="E298" s="10">
        <v>0.29346862435340881</v>
      </c>
      <c r="F298" s="41">
        <v>0.41104961395263673</v>
      </c>
      <c r="G298" s="47">
        <v>0.29551616586005236</v>
      </c>
      <c r="H298" s="49" t="s">
        <v>28</v>
      </c>
      <c r="I298" s="47">
        <v>0.47510000000000002</v>
      </c>
      <c r="J298" s="47">
        <v>0.14860000000000001</v>
      </c>
      <c r="K298" s="49"/>
      <c r="L298" s="47">
        <v>0.55200000000000005</v>
      </c>
      <c r="M298" s="47">
        <v>0.4</v>
      </c>
      <c r="N298" s="47">
        <v>2.7818797076045901E-2</v>
      </c>
      <c r="O298" s="48">
        <v>0.47192000000000001</v>
      </c>
      <c r="P298" s="48">
        <v>3.1319700981407332</v>
      </c>
      <c r="Q298" s="48">
        <v>0.51102366924285925</v>
      </c>
    </row>
    <row r="299" spans="1:17" x14ac:dyDescent="0.25">
      <c r="A299" s="25">
        <v>34</v>
      </c>
      <c r="B299" s="5">
        <v>1</v>
      </c>
      <c r="C299" s="6">
        <v>2010</v>
      </c>
      <c r="D299" s="36" t="s">
        <v>55</v>
      </c>
      <c r="E299" s="8">
        <v>0.48914970000000002</v>
      </c>
      <c r="F299" s="41">
        <v>0.44968811035156248</v>
      </c>
      <c r="G299" s="47">
        <v>5.0010907515955312E-5</v>
      </c>
      <c r="H299" s="49" t="s">
        <v>41</v>
      </c>
      <c r="I299" s="47">
        <v>0.42970000000000003</v>
      </c>
      <c r="J299" s="47">
        <v>0.1079</v>
      </c>
      <c r="K299" s="47">
        <v>0.1696</v>
      </c>
      <c r="L299" s="49"/>
      <c r="M299" s="49"/>
      <c r="N299" s="47">
        <v>2.2525672105555897E-2</v>
      </c>
      <c r="O299" s="48">
        <v>0.38856000000000002</v>
      </c>
      <c r="P299" s="48">
        <v>2.9392955800925553</v>
      </c>
      <c r="Q299" s="48">
        <v>0.39153198242187498</v>
      </c>
    </row>
    <row r="300" spans="1:17" x14ac:dyDescent="0.25">
      <c r="A300" s="25">
        <v>34</v>
      </c>
      <c r="B300" s="5">
        <v>2</v>
      </c>
      <c r="C300" s="6">
        <v>2011</v>
      </c>
      <c r="D300" s="36" t="s">
        <v>55</v>
      </c>
      <c r="E300" s="8">
        <v>0.441</v>
      </c>
      <c r="F300" s="41">
        <v>0.44475856781005857</v>
      </c>
      <c r="G300" s="47">
        <v>4.918049451802752E-5</v>
      </c>
      <c r="H300" s="49" t="s">
        <v>41</v>
      </c>
      <c r="I300" s="47">
        <v>0.42230000000000001</v>
      </c>
      <c r="J300" s="47">
        <v>0.1051</v>
      </c>
      <c r="K300" s="47">
        <v>0.1731</v>
      </c>
      <c r="L300" s="49"/>
      <c r="M300" s="49"/>
      <c r="N300" s="47">
        <v>2.2745942950024699E-2</v>
      </c>
      <c r="O300" s="48">
        <v>0.39248</v>
      </c>
      <c r="P300" s="48">
        <v>2.9533075804511055</v>
      </c>
      <c r="Q300" s="48">
        <v>0.39153198242187498</v>
      </c>
    </row>
    <row r="301" spans="1:17" x14ac:dyDescent="0.25">
      <c r="A301" s="25">
        <v>34</v>
      </c>
      <c r="B301" s="5">
        <v>3</v>
      </c>
      <c r="C301" s="6">
        <v>2012</v>
      </c>
      <c r="D301" s="36" t="s">
        <v>55</v>
      </c>
      <c r="E301" s="9">
        <v>0.441</v>
      </c>
      <c r="F301" s="41">
        <v>0.43596832275390623</v>
      </c>
      <c r="G301" s="47">
        <v>3.5373264833552103E-5</v>
      </c>
      <c r="H301" s="49" t="s">
        <v>41</v>
      </c>
      <c r="I301" s="47">
        <v>0.42799999999999999</v>
      </c>
      <c r="J301" s="47">
        <v>0.11119999999999999</v>
      </c>
      <c r="K301" s="47">
        <v>0.17180000000000001</v>
      </c>
      <c r="L301" s="49"/>
      <c r="M301" s="49"/>
      <c r="N301" s="47">
        <v>2.2500192933205598E-2</v>
      </c>
      <c r="O301" s="48">
        <v>0.39642000000000005</v>
      </c>
      <c r="P301" s="48">
        <v>3.0037677303618682</v>
      </c>
      <c r="Q301" s="48">
        <v>0.43147949218749998</v>
      </c>
    </row>
    <row r="302" spans="1:17" x14ac:dyDescent="0.25">
      <c r="A302" s="25">
        <v>34</v>
      </c>
      <c r="B302" s="5">
        <v>4</v>
      </c>
      <c r="C302" s="6">
        <v>2013</v>
      </c>
      <c r="D302" s="36" t="s">
        <v>55</v>
      </c>
      <c r="E302" s="10">
        <v>0.439</v>
      </c>
      <c r="F302" s="41">
        <v>0.41347038269042968</v>
      </c>
      <c r="G302" s="47">
        <v>3.0487622294420937E-5</v>
      </c>
      <c r="H302" s="49" t="s">
        <v>41</v>
      </c>
      <c r="I302" s="47">
        <v>0.43380000000000002</v>
      </c>
      <c r="J302" s="47">
        <v>0.1173</v>
      </c>
      <c r="K302" s="47">
        <v>0.1704</v>
      </c>
      <c r="L302" s="49"/>
      <c r="M302" s="49"/>
      <c r="N302" s="47">
        <v>2.2302448316911701E-2</v>
      </c>
      <c r="O302" s="48">
        <v>0.40035999999999999</v>
      </c>
      <c r="P302" s="48">
        <v>3.0761648737156793</v>
      </c>
      <c r="Q302" s="48">
        <v>0.379642715454102</v>
      </c>
    </row>
    <row r="303" spans="1:17" x14ac:dyDescent="0.25">
      <c r="A303" s="25">
        <v>34</v>
      </c>
      <c r="B303" s="5">
        <v>5</v>
      </c>
      <c r="C303" s="6">
        <v>2014</v>
      </c>
      <c r="D303" s="36" t="s">
        <v>55</v>
      </c>
      <c r="E303" s="10">
        <v>0.38780500000000001</v>
      </c>
      <c r="F303" s="41">
        <v>0.40162979125976561</v>
      </c>
      <c r="G303" s="47">
        <v>3.1253651361980087E-5</v>
      </c>
      <c r="H303" s="49" t="s">
        <v>41</v>
      </c>
      <c r="I303" s="47">
        <v>0.4395</v>
      </c>
      <c r="J303" s="47">
        <v>0.1234</v>
      </c>
      <c r="K303" s="47">
        <v>0.1691</v>
      </c>
      <c r="L303" s="49"/>
      <c r="M303" s="49"/>
      <c r="N303" s="47">
        <v>2.2070860234382299E-2</v>
      </c>
      <c r="O303" s="48">
        <v>0.40432000000000001</v>
      </c>
      <c r="P303" s="48">
        <v>3.0851517993345103</v>
      </c>
      <c r="Q303" s="48">
        <v>0.40556110382080102</v>
      </c>
    </row>
    <row r="304" spans="1:17" x14ac:dyDescent="0.25">
      <c r="A304" s="25">
        <v>34</v>
      </c>
      <c r="B304" s="5">
        <v>6</v>
      </c>
      <c r="C304" s="6">
        <v>2015</v>
      </c>
      <c r="D304" s="36" t="s">
        <v>55</v>
      </c>
      <c r="E304" s="12">
        <v>0.46448119999999998</v>
      </c>
      <c r="F304" s="41">
        <v>0.43757156372070311</v>
      </c>
      <c r="G304" s="47">
        <v>3.416174358899117E-5</v>
      </c>
      <c r="H304" s="49" t="s">
        <v>41</v>
      </c>
      <c r="I304" s="47">
        <v>0.44519999999999998</v>
      </c>
      <c r="J304" s="47">
        <v>0.1295</v>
      </c>
      <c r="K304" s="47">
        <v>0.16769999999999999</v>
      </c>
      <c r="L304" s="49"/>
      <c r="M304" s="49"/>
      <c r="N304" s="47">
        <v>2.1814287208108199E-2</v>
      </c>
      <c r="O304" s="48">
        <v>0.40828999999999999</v>
      </c>
      <c r="P304" s="48">
        <v>2.9754998970906072</v>
      </c>
      <c r="Q304" s="48">
        <v>0.38510559082031198</v>
      </c>
    </row>
    <row r="305" spans="1:17" x14ac:dyDescent="0.25">
      <c r="A305" s="25">
        <v>34</v>
      </c>
      <c r="B305" s="5">
        <v>7</v>
      </c>
      <c r="C305" s="6">
        <v>2016</v>
      </c>
      <c r="D305" s="36" t="s">
        <v>55</v>
      </c>
      <c r="E305" s="10">
        <v>0.46448119999999998</v>
      </c>
      <c r="F305" s="41">
        <v>0.43995605468749999</v>
      </c>
      <c r="G305" s="47">
        <v>3.5423485873362387E-5</v>
      </c>
      <c r="H305" s="49" t="s">
        <v>41</v>
      </c>
      <c r="I305" s="47">
        <v>0.45100000000000001</v>
      </c>
      <c r="J305" s="47">
        <v>0.1356</v>
      </c>
      <c r="K305" s="47">
        <v>0.16639999999999999</v>
      </c>
      <c r="L305" s="49"/>
      <c r="M305" s="49"/>
      <c r="N305" s="47">
        <v>2.1646200876144502E-2</v>
      </c>
      <c r="O305" s="48">
        <v>0.41228000000000004</v>
      </c>
      <c r="P305" s="48">
        <v>2.9919982464040138</v>
      </c>
      <c r="Q305" s="48">
        <v>0.40705688476562502</v>
      </c>
    </row>
    <row r="306" spans="1:17" x14ac:dyDescent="0.25">
      <c r="A306" s="25">
        <v>34</v>
      </c>
      <c r="B306" s="5">
        <v>8</v>
      </c>
      <c r="C306" s="6">
        <v>2017</v>
      </c>
      <c r="D306" s="36" t="s">
        <v>55</v>
      </c>
      <c r="E306" s="10">
        <v>0.46448120474815369</v>
      </c>
      <c r="F306" s="41">
        <v>0.42697021484374997</v>
      </c>
      <c r="G306" s="47">
        <v>3.2884239039179949E-5</v>
      </c>
      <c r="H306" s="49" t="s">
        <v>41</v>
      </c>
      <c r="I306" s="47">
        <v>0.45669999999999999</v>
      </c>
      <c r="J306" s="47">
        <v>0.14169999999999999</v>
      </c>
      <c r="K306" s="47">
        <v>0.16500000000000001</v>
      </c>
      <c r="L306" s="49"/>
      <c r="M306" s="49"/>
      <c r="N306" s="47">
        <v>2.15406938155801E-2</v>
      </c>
      <c r="O306" s="48">
        <v>0.41636000000000001</v>
      </c>
      <c r="P306" s="48">
        <v>2.9976409193635254</v>
      </c>
      <c r="Q306" s="48">
        <v>0.40079448699951198</v>
      </c>
    </row>
    <row r="307" spans="1:17" x14ac:dyDescent="0.25">
      <c r="A307" s="25">
        <v>34</v>
      </c>
      <c r="B307" s="5">
        <v>9</v>
      </c>
      <c r="C307" s="6">
        <v>2018</v>
      </c>
      <c r="D307" s="36" t="s">
        <v>55</v>
      </c>
      <c r="E307" s="10">
        <v>0.42191034555435181</v>
      </c>
      <c r="F307" s="41">
        <v>0.41743335723876951</v>
      </c>
      <c r="G307" s="47">
        <v>3.640603225370353E-5</v>
      </c>
      <c r="H307" s="49" t="s">
        <v>41</v>
      </c>
      <c r="I307" s="47">
        <v>0.46239999999999998</v>
      </c>
      <c r="J307" s="47">
        <v>0.14779999999999999</v>
      </c>
      <c r="K307" s="47">
        <v>0.16370000000000001</v>
      </c>
      <c r="L307" s="49"/>
      <c r="M307" s="49"/>
      <c r="N307" s="47">
        <v>2.1366362650849399E-2</v>
      </c>
      <c r="O307" s="48">
        <v>0.42054999999999998</v>
      </c>
      <c r="P307" s="48">
        <v>3.0022733119406975</v>
      </c>
      <c r="Q307" s="48">
        <v>0.415716514587402</v>
      </c>
    </row>
    <row r="308" spans="1:17" x14ac:dyDescent="0.25">
      <c r="A308" s="25">
        <v>35</v>
      </c>
      <c r="B308" s="5">
        <v>1</v>
      </c>
      <c r="C308" s="6">
        <v>2010</v>
      </c>
      <c r="D308" s="14" t="s">
        <v>56</v>
      </c>
      <c r="E308" s="8">
        <v>1.43359E-2</v>
      </c>
      <c r="F308" s="41">
        <v>0.2769915008544922</v>
      </c>
      <c r="G308" s="47">
        <v>1.2409389990564648</v>
      </c>
      <c r="H308" s="49" t="s">
        <v>49</v>
      </c>
      <c r="I308" s="47">
        <v>0.60680000000000001</v>
      </c>
      <c r="J308" s="47">
        <v>0.18559999999999999</v>
      </c>
      <c r="K308" s="47">
        <v>9.01E-2</v>
      </c>
      <c r="L308" s="47">
        <v>0.61399999999999999</v>
      </c>
      <c r="M308" s="47">
        <v>0.627</v>
      </c>
      <c r="N308" s="47">
        <v>1.4552819334819101E-2</v>
      </c>
      <c r="O308" s="48">
        <v>0.62218000000000007</v>
      </c>
      <c r="P308" s="48">
        <v>3.7748048232529725</v>
      </c>
      <c r="Q308" s="48">
        <v>0.85126792907714799</v>
      </c>
    </row>
    <row r="309" spans="1:17" x14ac:dyDescent="0.25">
      <c r="A309" s="25">
        <v>35</v>
      </c>
      <c r="B309" s="5">
        <v>2</v>
      </c>
      <c r="C309" s="6">
        <v>2011</v>
      </c>
      <c r="D309" s="14" t="s">
        <v>56</v>
      </c>
      <c r="E309" s="8">
        <v>2.1999999999999999E-2</v>
      </c>
      <c r="F309" s="41">
        <v>0.27378631591796876</v>
      </c>
      <c r="G309" s="47">
        <v>1.1897067599270263</v>
      </c>
      <c r="H309" s="49" t="s">
        <v>49</v>
      </c>
      <c r="I309" s="47">
        <v>0.61830000000000007</v>
      </c>
      <c r="J309" s="47">
        <v>0.18559999999999999</v>
      </c>
      <c r="K309" s="47">
        <v>8.3099999999999993E-2</v>
      </c>
      <c r="L309" s="47">
        <v>0.57299999999999995</v>
      </c>
      <c r="M309" s="47">
        <v>0.61599999999999999</v>
      </c>
      <c r="N309" s="47">
        <v>1.5245140562519901E-2</v>
      </c>
      <c r="O309" s="48">
        <v>0.62746000000000002</v>
      </c>
      <c r="P309" s="48">
        <v>3.7829829303711722</v>
      </c>
      <c r="Q309" s="48">
        <v>0.88287788391113298</v>
      </c>
    </row>
    <row r="310" spans="1:17" x14ac:dyDescent="0.25">
      <c r="A310" s="25">
        <v>35</v>
      </c>
      <c r="B310" s="5">
        <v>3</v>
      </c>
      <c r="C310" s="6">
        <v>2012</v>
      </c>
      <c r="D310" s="14" t="s">
        <v>56</v>
      </c>
      <c r="E310" s="19">
        <v>2.1999999999999999E-2</v>
      </c>
      <c r="F310" s="41">
        <v>0.27575691223144533</v>
      </c>
      <c r="G310" s="47">
        <v>1.2516778545023735</v>
      </c>
      <c r="H310" s="49" t="s">
        <v>49</v>
      </c>
      <c r="I310" s="47">
        <v>0.65129999999999999</v>
      </c>
      <c r="J310" s="47">
        <v>0.1933</v>
      </c>
      <c r="K310" s="47">
        <v>6.4100000000000004E-2</v>
      </c>
      <c r="L310" s="47">
        <v>0.53100000000000003</v>
      </c>
      <c r="M310" s="47">
        <v>0.60699999999999998</v>
      </c>
      <c r="N310" s="47">
        <v>1.5813536730551799E-2</v>
      </c>
      <c r="O310" s="48">
        <v>0.63271999999999995</v>
      </c>
      <c r="P310" s="48">
        <v>3.7868619572136208</v>
      </c>
      <c r="Q310" s="48">
        <v>0.92522270202636703</v>
      </c>
    </row>
    <row r="311" spans="1:17" x14ac:dyDescent="0.25">
      <c r="A311" s="25">
        <v>35</v>
      </c>
      <c r="B311" s="5">
        <v>4</v>
      </c>
      <c r="C311" s="6">
        <v>2013</v>
      </c>
      <c r="D311" s="14" t="s">
        <v>56</v>
      </c>
      <c r="E311" s="10">
        <v>5.7000000000000002E-2</v>
      </c>
      <c r="F311" s="41">
        <v>0.27526597976684569</v>
      </c>
      <c r="G311" s="47">
        <v>1.2702927247972449</v>
      </c>
      <c r="H311" s="49" t="s">
        <v>49</v>
      </c>
      <c r="I311" s="47">
        <v>0.65100000000000002</v>
      </c>
      <c r="J311" s="47">
        <v>0.1925</v>
      </c>
      <c r="K311" s="47">
        <v>6.3399999999999998E-2</v>
      </c>
      <c r="L311" s="47">
        <v>0.54500000000000004</v>
      </c>
      <c r="M311" s="47">
        <v>0.63</v>
      </c>
      <c r="N311" s="47">
        <v>1.6043673693123803E-2</v>
      </c>
      <c r="O311" s="48">
        <v>0.63793</v>
      </c>
      <c r="P311" s="48">
        <v>3.7903468694908837</v>
      </c>
      <c r="Q311" s="48">
        <v>0.90405029296874995</v>
      </c>
    </row>
    <row r="312" spans="1:17" x14ac:dyDescent="0.25">
      <c r="A312" s="25">
        <v>35</v>
      </c>
      <c r="B312" s="5">
        <v>5</v>
      </c>
      <c r="C312" s="6">
        <v>2014</v>
      </c>
      <c r="D312" s="14" t="s">
        <v>56</v>
      </c>
      <c r="E312" s="10">
        <v>4.3794E-2</v>
      </c>
      <c r="F312" s="41">
        <v>0.2772580337524414</v>
      </c>
      <c r="G312" s="47">
        <v>1.2883837477965339</v>
      </c>
      <c r="H312" s="49" t="s">
        <v>49</v>
      </c>
      <c r="I312" s="47">
        <v>0.65090000000000003</v>
      </c>
      <c r="J312" s="47">
        <v>0.1923</v>
      </c>
      <c r="K312" s="47">
        <v>6.2700000000000006E-2</v>
      </c>
      <c r="L312" s="47">
        <v>0.54299999999999993</v>
      </c>
      <c r="M312" s="47">
        <v>0.59599999999999997</v>
      </c>
      <c r="N312" s="47">
        <v>1.58378739591921E-2</v>
      </c>
      <c r="O312" s="48">
        <v>0.64312000000000002</v>
      </c>
      <c r="P312" s="48">
        <v>3.7892284731896675</v>
      </c>
      <c r="Q312" s="48">
        <v>1.0567355346679701</v>
      </c>
    </row>
    <row r="313" spans="1:17" x14ac:dyDescent="0.25">
      <c r="A313" s="25">
        <v>35</v>
      </c>
      <c r="B313" s="5">
        <v>6</v>
      </c>
      <c r="C313" s="6">
        <v>2015</v>
      </c>
      <c r="D313" s="14" t="s">
        <v>56</v>
      </c>
      <c r="E313" s="27">
        <v>4.3794199999999998E-2</v>
      </c>
      <c r="F313" s="41">
        <v>0.27669252395629884</v>
      </c>
      <c r="G313" s="47">
        <v>1.2720324424273075</v>
      </c>
      <c r="H313" s="49" t="s">
        <v>49</v>
      </c>
      <c r="I313" s="47">
        <v>0.65100000000000002</v>
      </c>
      <c r="J313" s="47">
        <v>0.19259999999999999</v>
      </c>
      <c r="K313" s="47">
        <v>6.2600000000000003E-2</v>
      </c>
      <c r="L313" s="47">
        <v>0.54799999999999993</v>
      </c>
      <c r="M313" s="47">
        <v>0.56200000000000006</v>
      </c>
      <c r="N313" s="47">
        <v>1.5322427734169199E-2</v>
      </c>
      <c r="O313" s="48">
        <v>0.64828000000000008</v>
      </c>
      <c r="P313" s="48">
        <v>3.7862028020404379</v>
      </c>
      <c r="Q313" s="48">
        <v>1.10168930053711</v>
      </c>
    </row>
    <row r="314" spans="1:17" x14ac:dyDescent="0.25">
      <c r="A314" s="25">
        <v>35</v>
      </c>
      <c r="B314" s="5">
        <v>7</v>
      </c>
      <c r="C314" s="6">
        <v>2016</v>
      </c>
      <c r="D314" s="14" t="s">
        <v>56</v>
      </c>
      <c r="E314" s="10">
        <v>4.3794199999999998E-2</v>
      </c>
      <c r="F314" s="41">
        <v>0.28013759613037109</v>
      </c>
      <c r="G314" s="47">
        <v>1.2436049611176379</v>
      </c>
      <c r="H314" s="49" t="s">
        <v>49</v>
      </c>
      <c r="I314" s="47">
        <v>0.65090000000000003</v>
      </c>
      <c r="J314" s="47">
        <v>0.1923</v>
      </c>
      <c r="K314" s="47">
        <v>6.2700000000000006E-2</v>
      </c>
      <c r="L314" s="47">
        <v>0.57100000000000006</v>
      </c>
      <c r="M314" s="47">
        <v>0.57100000000000006</v>
      </c>
      <c r="N314" s="47">
        <v>1.4719334293973801E-2</v>
      </c>
      <c r="O314" s="48">
        <v>0.65340999999999994</v>
      </c>
      <c r="P314" s="48">
        <v>3.7849947337467045</v>
      </c>
      <c r="Q314" s="48">
        <v>1.0977407836914099</v>
      </c>
    </row>
    <row r="315" spans="1:17" x14ac:dyDescent="0.25">
      <c r="A315" s="25">
        <v>35</v>
      </c>
      <c r="B315" s="5">
        <v>8</v>
      </c>
      <c r="C315" s="6">
        <v>2017</v>
      </c>
      <c r="D315" s="14" t="s">
        <v>56</v>
      </c>
      <c r="E315" s="10">
        <v>3.5930737853050232E-2</v>
      </c>
      <c r="F315" s="41">
        <v>0.28075172424316408</v>
      </c>
      <c r="G315" s="47">
        <v>1.2703028385845416</v>
      </c>
      <c r="H315" s="49" t="s">
        <v>49</v>
      </c>
      <c r="I315" s="47">
        <v>0.65080000000000005</v>
      </c>
      <c r="J315" s="47">
        <v>0.19209999999999999</v>
      </c>
      <c r="K315" s="47">
        <v>6.2700000000000006E-2</v>
      </c>
      <c r="L315" s="47">
        <v>0.52400000000000002</v>
      </c>
      <c r="M315" s="47">
        <v>0.56200000000000006</v>
      </c>
      <c r="N315" s="47">
        <v>1.4169472537863098E-2</v>
      </c>
      <c r="O315" s="48">
        <v>0.65849999999999997</v>
      </c>
      <c r="P315" s="48">
        <v>3.7871551602763418</v>
      </c>
      <c r="Q315" s="48">
        <v>1.11627403259277</v>
      </c>
    </row>
    <row r="316" spans="1:17" x14ac:dyDescent="0.25">
      <c r="A316" s="25">
        <v>35</v>
      </c>
      <c r="B316" s="5">
        <v>9</v>
      </c>
      <c r="C316" s="6">
        <v>2018</v>
      </c>
      <c r="D316" s="14" t="s">
        <v>56</v>
      </c>
      <c r="E316" s="10">
        <v>2.1474085748195648E-2</v>
      </c>
      <c r="F316" s="41">
        <v>0.28280643463134764</v>
      </c>
      <c r="G316" s="47">
        <v>1.1838085796348712</v>
      </c>
      <c r="H316" s="49" t="s">
        <v>49</v>
      </c>
      <c r="I316" s="47">
        <v>0.65180000000000005</v>
      </c>
      <c r="J316" s="47">
        <v>0.1943</v>
      </c>
      <c r="K316" s="47">
        <v>6.25E-2</v>
      </c>
      <c r="L316" s="47">
        <v>0.52400000000000002</v>
      </c>
      <c r="M316" s="47">
        <v>0.56700000000000006</v>
      </c>
      <c r="N316" s="47">
        <v>1.3637032160046102E-2</v>
      </c>
      <c r="O316" s="48">
        <v>0.66355000000000008</v>
      </c>
      <c r="P316" s="48">
        <v>3.786557659504417</v>
      </c>
      <c r="Q316" s="48">
        <v>1.08520568847656</v>
      </c>
    </row>
    <row r="317" spans="1:17" x14ac:dyDescent="0.25">
      <c r="A317" s="25">
        <v>36</v>
      </c>
      <c r="B317" s="5">
        <v>1</v>
      </c>
      <c r="C317" s="6">
        <v>2010</v>
      </c>
      <c r="D317" s="28" t="s">
        <v>57</v>
      </c>
      <c r="E317" s="8">
        <v>0.51374129999999996</v>
      </c>
      <c r="F317" s="41"/>
      <c r="G317" s="50"/>
      <c r="H317" s="49" t="s">
        <v>19</v>
      </c>
      <c r="I317" s="47">
        <v>0.48730000000000001</v>
      </c>
      <c r="J317" s="47">
        <v>0.16950000000000001</v>
      </c>
      <c r="K317" s="47">
        <v>0.15090000000000001</v>
      </c>
      <c r="L317" s="47">
        <v>0</v>
      </c>
      <c r="M317" s="47">
        <v>0</v>
      </c>
      <c r="N317" s="47">
        <v>2.7457394193518302E-2</v>
      </c>
      <c r="O317" s="48">
        <v>0.3931</v>
      </c>
      <c r="P317" s="48">
        <v>2.518475146855673</v>
      </c>
      <c r="Q317" s="48">
        <v>0</v>
      </c>
    </row>
    <row r="318" spans="1:17" x14ac:dyDescent="0.25">
      <c r="A318" s="25">
        <v>36</v>
      </c>
      <c r="B318" s="5">
        <v>2</v>
      </c>
      <c r="C318" s="6">
        <v>2011</v>
      </c>
      <c r="D318" s="28" t="s">
        <v>57</v>
      </c>
      <c r="E318" s="8">
        <v>0.51400000000000001</v>
      </c>
      <c r="F318" s="41"/>
      <c r="G318" s="50"/>
      <c r="H318" s="49" t="s">
        <v>19</v>
      </c>
      <c r="I318" s="47">
        <v>0.48670000000000002</v>
      </c>
      <c r="J318" s="47">
        <v>0.16769999999999999</v>
      </c>
      <c r="K318" s="47">
        <v>0.1507</v>
      </c>
      <c r="L318" s="47">
        <v>0</v>
      </c>
      <c r="M318" s="47">
        <v>0</v>
      </c>
      <c r="N318" s="47">
        <v>2.7226612159500001E-2</v>
      </c>
      <c r="O318" s="48">
        <v>0.41</v>
      </c>
      <c r="P318" s="48">
        <v>2.5435434344349819</v>
      </c>
      <c r="Q318" s="48">
        <v>0</v>
      </c>
    </row>
    <row r="319" spans="1:17" x14ac:dyDescent="0.25">
      <c r="A319" s="25">
        <v>36</v>
      </c>
      <c r="B319" s="5">
        <v>3</v>
      </c>
      <c r="C319" s="6">
        <v>2012</v>
      </c>
      <c r="D319" s="28" t="s">
        <v>57</v>
      </c>
      <c r="E319" s="19">
        <v>0.51400000000000001</v>
      </c>
      <c r="F319" s="41"/>
      <c r="G319" s="50"/>
      <c r="H319" s="49" t="s">
        <v>19</v>
      </c>
      <c r="I319" s="47">
        <v>0.48680000000000001</v>
      </c>
      <c r="J319" s="47">
        <v>0.16619999999999999</v>
      </c>
      <c r="K319" s="47">
        <v>0.15</v>
      </c>
      <c r="L319" s="47">
        <v>0</v>
      </c>
      <c r="M319" s="47">
        <v>0</v>
      </c>
      <c r="N319" s="47">
        <v>2.7036941919373701E-2</v>
      </c>
      <c r="O319" s="48">
        <v>0.41558</v>
      </c>
      <c r="P319" s="48">
        <v>2.5677522038468559</v>
      </c>
      <c r="Q319" s="48">
        <v>0</v>
      </c>
    </row>
    <row r="320" spans="1:17" x14ac:dyDescent="0.25">
      <c r="A320" s="25">
        <v>36</v>
      </c>
      <c r="B320" s="5">
        <v>4</v>
      </c>
      <c r="C320" s="6">
        <v>2013</v>
      </c>
      <c r="D320" s="28" t="s">
        <v>57</v>
      </c>
      <c r="E320" s="10">
        <v>0.51400000000000001</v>
      </c>
      <c r="F320" s="41"/>
      <c r="G320" s="50"/>
      <c r="H320" s="49" t="s">
        <v>19</v>
      </c>
      <c r="I320" s="47">
        <v>0.48859999999999998</v>
      </c>
      <c r="J320" s="47">
        <v>0.16650000000000001</v>
      </c>
      <c r="K320" s="47">
        <v>0.14879999999999999</v>
      </c>
      <c r="L320" s="47">
        <v>0</v>
      </c>
      <c r="M320" s="47">
        <v>0</v>
      </c>
      <c r="N320" s="47">
        <v>2.7017534202225E-2</v>
      </c>
      <c r="O320" s="48">
        <v>0.42116999999999999</v>
      </c>
      <c r="P320" s="48">
        <v>2.5989095046686561</v>
      </c>
      <c r="Q320" s="48">
        <v>0</v>
      </c>
    </row>
    <row r="321" spans="1:17" x14ac:dyDescent="0.25">
      <c r="A321" s="25">
        <v>36</v>
      </c>
      <c r="B321" s="5">
        <v>5</v>
      </c>
      <c r="C321" s="6">
        <v>2014</v>
      </c>
      <c r="D321" s="28" t="s">
        <v>57</v>
      </c>
      <c r="E321" s="10">
        <v>0.513741</v>
      </c>
      <c r="F321" s="41"/>
      <c r="G321" s="50"/>
      <c r="H321" s="49" t="s">
        <v>19</v>
      </c>
      <c r="I321" s="47">
        <v>0.49009999999999998</v>
      </c>
      <c r="J321" s="47">
        <v>0.16650000000000001</v>
      </c>
      <c r="K321" s="47">
        <v>0.1477</v>
      </c>
      <c r="L321" s="47">
        <v>0</v>
      </c>
      <c r="M321" s="47">
        <v>0</v>
      </c>
      <c r="N321" s="47">
        <v>2.7173957964601501E-2</v>
      </c>
      <c r="O321" s="48">
        <v>0.42679</v>
      </c>
      <c r="P321" s="48">
        <v>2.6206739495066147</v>
      </c>
      <c r="Q321" s="48">
        <v>0</v>
      </c>
    </row>
    <row r="322" spans="1:17" x14ac:dyDescent="0.25">
      <c r="A322" s="25">
        <v>36</v>
      </c>
      <c r="B322" s="5">
        <v>6</v>
      </c>
      <c r="C322" s="6">
        <v>2015</v>
      </c>
      <c r="D322" s="28" t="s">
        <v>57</v>
      </c>
      <c r="E322" s="12">
        <v>0.51374129999999996</v>
      </c>
      <c r="F322" s="41"/>
      <c r="G322" s="50"/>
      <c r="H322" s="49" t="s">
        <v>19</v>
      </c>
      <c r="I322" s="47">
        <v>0.4904</v>
      </c>
      <c r="J322" s="47">
        <v>0.16520000000000001</v>
      </c>
      <c r="K322" s="47">
        <v>0.14699999999999999</v>
      </c>
      <c r="L322" s="47">
        <v>5.0000000000000001E-3</v>
      </c>
      <c r="M322" s="47">
        <v>0</v>
      </c>
      <c r="N322" s="47">
        <v>2.7453771413123097E-2</v>
      </c>
      <c r="O322" s="48">
        <v>0.43245</v>
      </c>
      <c r="P322" s="48">
        <v>2.6489286897973607</v>
      </c>
      <c r="Q322" s="48">
        <v>0</v>
      </c>
    </row>
    <row r="323" spans="1:17" x14ac:dyDescent="0.25">
      <c r="A323" s="25">
        <v>36</v>
      </c>
      <c r="B323" s="5">
        <v>7</v>
      </c>
      <c r="C323" s="6">
        <v>2016</v>
      </c>
      <c r="D323" s="28" t="s">
        <v>57</v>
      </c>
      <c r="E323" s="10">
        <v>0.51374129999999996</v>
      </c>
      <c r="F323" s="41"/>
      <c r="G323" s="50"/>
      <c r="H323" s="49" t="s">
        <v>19</v>
      </c>
      <c r="I323" s="47">
        <v>0.48930000000000001</v>
      </c>
      <c r="J323" s="47">
        <v>0.16450000000000001</v>
      </c>
      <c r="K323" s="47">
        <v>0.1474</v>
      </c>
      <c r="L323" s="47">
        <v>0.01</v>
      </c>
      <c r="M323" s="47">
        <v>5.0000000000000001E-3</v>
      </c>
      <c r="N323" s="47">
        <v>2.7763869916735101E-2</v>
      </c>
      <c r="O323" s="48">
        <v>0.43816000000000005</v>
      </c>
      <c r="P323" s="48">
        <v>2.6617383825919365</v>
      </c>
      <c r="Q323" s="48">
        <v>0</v>
      </c>
    </row>
    <row r="324" spans="1:17" x14ac:dyDescent="0.25">
      <c r="A324" s="25">
        <v>36</v>
      </c>
      <c r="B324" s="5">
        <v>8</v>
      </c>
      <c r="C324" s="6">
        <v>2017</v>
      </c>
      <c r="D324" s="28" t="s">
        <v>57</v>
      </c>
      <c r="E324" s="10">
        <v>0.51374125480651855</v>
      </c>
      <c r="F324" s="41"/>
      <c r="G324" s="50"/>
      <c r="H324" s="49" t="s">
        <v>19</v>
      </c>
      <c r="I324" s="47">
        <v>0.48730000000000001</v>
      </c>
      <c r="J324" s="47">
        <v>0.16239999999999999</v>
      </c>
      <c r="K324" s="47">
        <v>0.1482</v>
      </c>
      <c r="L324" s="47">
        <v>5.0000000000000001E-3</v>
      </c>
      <c r="M324" s="47">
        <v>5.0000000000000001E-3</v>
      </c>
      <c r="N324" s="47">
        <v>2.80492970604885E-2</v>
      </c>
      <c r="O324" s="48">
        <v>0.44390999999999997</v>
      </c>
      <c r="P324" s="48">
        <v>2.7045803902987182</v>
      </c>
      <c r="Q324" s="48">
        <v>0</v>
      </c>
    </row>
    <row r="325" spans="1:17" x14ac:dyDescent="0.25">
      <c r="A325" s="25">
        <v>36</v>
      </c>
      <c r="B325" s="5">
        <v>9</v>
      </c>
      <c r="C325" s="6">
        <v>2018</v>
      </c>
      <c r="D325" s="28" t="s">
        <v>57</v>
      </c>
      <c r="E325" s="10">
        <v>0.51756519079208374</v>
      </c>
      <c r="F325" s="41"/>
      <c r="G325" s="50"/>
      <c r="H325" s="49" t="s">
        <v>19</v>
      </c>
      <c r="I325" s="47">
        <v>0.48470000000000002</v>
      </c>
      <c r="J325" s="47">
        <v>0.16</v>
      </c>
      <c r="K325" s="47">
        <v>0.1492</v>
      </c>
      <c r="L325" s="47">
        <v>0</v>
      </c>
      <c r="M325" s="47">
        <v>0.01</v>
      </c>
      <c r="N325" s="47">
        <v>2.8319254238938399E-2</v>
      </c>
      <c r="O325" s="48">
        <v>0.44970999999999994</v>
      </c>
      <c r="P325" s="48">
        <v>2.6980840630860041</v>
      </c>
      <c r="Q325" s="48">
        <v>0</v>
      </c>
    </row>
    <row r="326" spans="1:17" x14ac:dyDescent="0.25">
      <c r="A326" s="25">
        <v>37</v>
      </c>
      <c r="B326" s="5">
        <v>1</v>
      </c>
      <c r="C326" s="6">
        <v>2010</v>
      </c>
      <c r="D326" s="23" t="s">
        <v>58</v>
      </c>
      <c r="E326" s="37">
        <v>0.32137169999999998</v>
      </c>
      <c r="F326" s="41">
        <v>0</v>
      </c>
      <c r="G326" s="47">
        <v>0.10502691265179352</v>
      </c>
      <c r="H326" s="49" t="s">
        <v>19</v>
      </c>
      <c r="I326" s="47">
        <v>0.42770000000000002</v>
      </c>
      <c r="J326" s="47">
        <v>0.1234</v>
      </c>
      <c r="K326" s="47">
        <v>0.16619999999999999</v>
      </c>
      <c r="L326" s="47">
        <v>8.5999999999999993E-2</v>
      </c>
      <c r="M326" s="47">
        <v>6.2E-2</v>
      </c>
      <c r="N326" s="47">
        <v>2.2282451157054201E-2</v>
      </c>
      <c r="O326" s="48">
        <v>0.33088999999999996</v>
      </c>
      <c r="P326" s="48">
        <v>3.1176766064055612</v>
      </c>
      <c r="Q326" s="48">
        <v>0.42985160827636698</v>
      </c>
    </row>
    <row r="327" spans="1:17" x14ac:dyDescent="0.25">
      <c r="A327" s="25">
        <v>37</v>
      </c>
      <c r="B327" s="5">
        <v>2</v>
      </c>
      <c r="C327" s="6">
        <v>2011</v>
      </c>
      <c r="D327" s="23" t="s">
        <v>58</v>
      </c>
      <c r="E327" s="37">
        <v>0.32137169999999998</v>
      </c>
      <c r="F327" s="41">
        <v>0</v>
      </c>
      <c r="G327" s="47">
        <v>9.2919216676410094E-2</v>
      </c>
      <c r="H327" s="49" t="s">
        <v>19</v>
      </c>
      <c r="I327" s="47">
        <v>0.44159999999999999</v>
      </c>
      <c r="J327" s="47">
        <v>0.13059999999999999</v>
      </c>
      <c r="K327" s="47">
        <v>0.16439999999999999</v>
      </c>
      <c r="L327" s="47">
        <v>0.09</v>
      </c>
      <c r="M327" s="47">
        <v>5.7000000000000002E-2</v>
      </c>
      <c r="N327" s="47">
        <v>2.3025999603434603E-2</v>
      </c>
      <c r="O327" s="48">
        <v>0.33207000000000003</v>
      </c>
      <c r="P327" s="48">
        <v>3.1424577149674722</v>
      </c>
      <c r="Q327" s="48">
        <v>0.38529838562011698</v>
      </c>
    </row>
    <row r="328" spans="1:17" x14ac:dyDescent="0.25">
      <c r="A328" s="25">
        <v>37</v>
      </c>
      <c r="B328" s="5">
        <v>3</v>
      </c>
      <c r="C328" s="6">
        <v>2012</v>
      </c>
      <c r="D328" s="23" t="s">
        <v>58</v>
      </c>
      <c r="E328" s="37">
        <v>0.32137169999999998</v>
      </c>
      <c r="F328" s="41">
        <v>0</v>
      </c>
      <c r="G328" s="47">
        <v>0.11942364123248445</v>
      </c>
      <c r="H328" s="49" t="s">
        <v>19</v>
      </c>
      <c r="I328" s="47">
        <v>0.43540000000000001</v>
      </c>
      <c r="J328" s="47">
        <v>0.13780000000000001</v>
      </c>
      <c r="K328" s="47">
        <v>0.1686</v>
      </c>
      <c r="L328" s="47">
        <v>5.0000000000000001E-3</v>
      </c>
      <c r="M328" s="47">
        <v>5.2000000000000005E-2</v>
      </c>
      <c r="N328" s="47">
        <v>2.3598081680462801E-2</v>
      </c>
      <c r="O328" s="48">
        <v>0.33345999999999998</v>
      </c>
      <c r="P328" s="48">
        <v>3.1100030317852476</v>
      </c>
      <c r="Q328" s="48">
        <v>0.42675891876220701</v>
      </c>
    </row>
    <row r="329" spans="1:17" x14ac:dyDescent="0.25">
      <c r="A329" s="25">
        <v>37</v>
      </c>
      <c r="B329" s="5">
        <v>4</v>
      </c>
      <c r="C329" s="6">
        <v>2013</v>
      </c>
      <c r="D329" s="23" t="s">
        <v>58</v>
      </c>
      <c r="E329" s="37">
        <v>0.32137169999999998</v>
      </c>
      <c r="F329" s="41">
        <v>0</v>
      </c>
      <c r="G329" s="47">
        <v>0.10517791667911061</v>
      </c>
      <c r="H329" s="49" t="s">
        <v>19</v>
      </c>
      <c r="I329" s="47">
        <v>0.44119999999999998</v>
      </c>
      <c r="J329" s="47">
        <v>0.14599999999999999</v>
      </c>
      <c r="K329" s="47">
        <v>0.16919999999999999</v>
      </c>
      <c r="L329" s="47">
        <v>5.0000000000000001E-3</v>
      </c>
      <c r="M329" s="47">
        <v>4.2999999999999997E-2</v>
      </c>
      <c r="N329" s="47">
        <v>2.3989629952395203E-2</v>
      </c>
      <c r="O329" s="48">
        <v>0.33506999999999998</v>
      </c>
      <c r="P329" s="48">
        <v>3.1083820770495945</v>
      </c>
      <c r="Q329" s="48">
        <v>0.45366798400878899</v>
      </c>
    </row>
    <row r="330" spans="1:17" x14ac:dyDescent="0.25">
      <c r="A330" s="25">
        <v>37</v>
      </c>
      <c r="B330" s="5">
        <v>5</v>
      </c>
      <c r="C330" s="6">
        <v>2014</v>
      </c>
      <c r="D330" s="23" t="s">
        <v>58</v>
      </c>
      <c r="E330" s="37">
        <v>0.32137169999999998</v>
      </c>
      <c r="F330" s="41">
        <v>0</v>
      </c>
      <c r="G330" s="47">
        <v>8.1506468627485909E-2</v>
      </c>
      <c r="H330" s="49" t="s">
        <v>19</v>
      </c>
      <c r="I330" s="47">
        <v>0.44990000000000002</v>
      </c>
      <c r="J330" s="47">
        <v>0.15709999999999999</v>
      </c>
      <c r="K330" s="47">
        <v>0.16880000000000001</v>
      </c>
      <c r="L330" s="47">
        <v>3.4000000000000002E-2</v>
      </c>
      <c r="M330" s="47">
        <v>4.8000000000000001E-2</v>
      </c>
      <c r="N330" s="47">
        <v>2.4121074672402699E-2</v>
      </c>
      <c r="O330" s="48">
        <v>0.33689000000000002</v>
      </c>
      <c r="P330" s="48">
        <v>3.1164050420156495</v>
      </c>
      <c r="Q330" s="48">
        <v>0.46803421020507796</v>
      </c>
    </row>
    <row r="331" spans="1:17" x14ac:dyDescent="0.25">
      <c r="A331" s="25">
        <v>37</v>
      </c>
      <c r="B331" s="5">
        <v>6</v>
      </c>
      <c r="C331" s="6">
        <v>2015</v>
      </c>
      <c r="D331" s="23" t="s">
        <v>58</v>
      </c>
      <c r="E331" s="12">
        <v>0.32137169999999998</v>
      </c>
      <c r="F331" s="41">
        <v>0</v>
      </c>
      <c r="G331" s="47">
        <v>8.1247333598135948E-2</v>
      </c>
      <c r="H331" s="49" t="s">
        <v>19</v>
      </c>
      <c r="I331" s="47">
        <v>0.4461</v>
      </c>
      <c r="J331" s="47">
        <v>0.15559999999999999</v>
      </c>
      <c r="K331" s="47">
        <v>0.17</v>
      </c>
      <c r="L331" s="47">
        <v>3.3000000000000002E-2</v>
      </c>
      <c r="M331" s="47">
        <v>5.2000000000000005E-2</v>
      </c>
      <c r="N331" s="47">
        <v>2.4072018696768401E-2</v>
      </c>
      <c r="O331" s="48">
        <v>0.33893999999999996</v>
      </c>
      <c r="P331" s="48">
        <v>3.1113901071279453</v>
      </c>
      <c r="Q331" s="48">
        <v>0.47602970123291</v>
      </c>
    </row>
    <row r="332" spans="1:17" x14ac:dyDescent="0.25">
      <c r="A332" s="25">
        <v>37</v>
      </c>
      <c r="B332" s="5">
        <v>7</v>
      </c>
      <c r="C332" s="6">
        <v>2016</v>
      </c>
      <c r="D332" s="23" t="s">
        <v>58</v>
      </c>
      <c r="E332" s="10">
        <v>0.32137169999999998</v>
      </c>
      <c r="F332" s="41">
        <v>0</v>
      </c>
      <c r="G332" s="47">
        <v>8.2197164325273603E-2</v>
      </c>
      <c r="H332" s="49" t="s">
        <v>19</v>
      </c>
      <c r="I332" s="47">
        <v>0.44840000000000002</v>
      </c>
      <c r="J332" s="47">
        <v>0.1545</v>
      </c>
      <c r="K332" s="47">
        <v>0.16930000000000001</v>
      </c>
      <c r="L332" s="47">
        <v>3.3000000000000002E-2</v>
      </c>
      <c r="M332" s="47">
        <v>5.7000000000000002E-2</v>
      </c>
      <c r="N332" s="47">
        <v>2.398795478465E-2</v>
      </c>
      <c r="O332" s="48">
        <v>0.34121000000000001</v>
      </c>
      <c r="P332" s="48">
        <v>3.1129917203493767</v>
      </c>
      <c r="Q332" s="48">
        <v>0.461623802185059</v>
      </c>
    </row>
    <row r="333" spans="1:17" x14ac:dyDescent="0.25">
      <c r="A333" s="25">
        <v>37</v>
      </c>
      <c r="B333" s="5">
        <v>8</v>
      </c>
      <c r="C333" s="6">
        <v>2017</v>
      </c>
      <c r="D333" s="23" t="s">
        <v>58</v>
      </c>
      <c r="E333" s="10">
        <v>0.28656396269798279</v>
      </c>
      <c r="F333" s="41">
        <v>0</v>
      </c>
      <c r="G333" s="47">
        <v>8.3897561375876575E-2</v>
      </c>
      <c r="H333" s="49" t="s">
        <v>19</v>
      </c>
      <c r="I333" s="47">
        <v>0.44350000000000001</v>
      </c>
      <c r="J333" s="47">
        <v>0.15340000000000001</v>
      </c>
      <c r="K333" s="47">
        <v>0.17080000000000001</v>
      </c>
      <c r="L333" s="47">
        <v>2.8999999999999998E-2</v>
      </c>
      <c r="M333" s="47">
        <v>6.2E-2</v>
      </c>
      <c r="N333" s="47">
        <v>2.39524232580927E-2</v>
      </c>
      <c r="O333" s="48">
        <v>0.34369999999999995</v>
      </c>
      <c r="P333" s="48">
        <v>3.1010158321379953</v>
      </c>
      <c r="Q333" s="48">
        <v>0.48979640960693405</v>
      </c>
    </row>
    <row r="334" spans="1:17" x14ac:dyDescent="0.25">
      <c r="A334" s="25">
        <v>37</v>
      </c>
      <c r="B334" s="5">
        <v>9</v>
      </c>
      <c r="C334" s="6">
        <v>2018</v>
      </c>
      <c r="D334" s="23" t="s">
        <v>58</v>
      </c>
      <c r="E334" s="10">
        <v>0.279844731092453</v>
      </c>
      <c r="F334" s="41">
        <v>0</v>
      </c>
      <c r="G334" s="47">
        <v>9.3547560332502541E-2</v>
      </c>
      <c r="H334" s="49" t="s">
        <v>19</v>
      </c>
      <c r="I334" s="47">
        <v>0.45019999999999999</v>
      </c>
      <c r="J334" s="47">
        <v>0.15679999999999999</v>
      </c>
      <c r="K334" s="47">
        <v>0.16880000000000001</v>
      </c>
      <c r="L334" s="47">
        <v>6.2E-2</v>
      </c>
      <c r="M334" s="47">
        <v>4.8000000000000001E-2</v>
      </c>
      <c r="N334" s="47">
        <v>2.39225797194196E-2</v>
      </c>
      <c r="O334" s="48">
        <v>0.34642000000000001</v>
      </c>
      <c r="P334" s="48">
        <v>3.0740643499510405</v>
      </c>
      <c r="Q334" s="48">
        <v>0.48362041473388701</v>
      </c>
    </row>
    <row r="335" spans="1:17" x14ac:dyDescent="0.25">
      <c r="A335" s="25">
        <v>38</v>
      </c>
      <c r="B335" s="5">
        <v>1</v>
      </c>
      <c r="C335" s="6">
        <v>2010</v>
      </c>
      <c r="D335" s="28" t="s">
        <v>59</v>
      </c>
      <c r="E335" s="8">
        <v>0.3673323</v>
      </c>
      <c r="F335" s="41">
        <v>0.55995574951171878</v>
      </c>
      <c r="G335" s="47">
        <v>0.11718262274740722</v>
      </c>
      <c r="H335" s="49" t="s">
        <v>17</v>
      </c>
      <c r="I335" s="47">
        <v>0.4829</v>
      </c>
      <c r="J335" s="47">
        <v>0.16109999999999999</v>
      </c>
      <c r="K335" s="47">
        <v>0.15129999999999999</v>
      </c>
      <c r="L335" s="47">
        <v>0.35700000000000004</v>
      </c>
      <c r="M335" s="47">
        <v>0.316</v>
      </c>
      <c r="N335" s="47">
        <v>2.9118889413024599E-2</v>
      </c>
      <c r="O335" s="48">
        <v>0.28114</v>
      </c>
      <c r="P335" s="48">
        <v>2.9037947722416964</v>
      </c>
      <c r="Q335" s="48">
        <v>0.33358169555664097</v>
      </c>
    </row>
    <row r="336" spans="1:17" x14ac:dyDescent="0.25">
      <c r="A336" s="25">
        <v>38</v>
      </c>
      <c r="B336" s="5">
        <v>2</v>
      </c>
      <c r="C336" s="6">
        <v>2011</v>
      </c>
      <c r="D336" s="28" t="s">
        <v>59</v>
      </c>
      <c r="E336" s="8">
        <v>0.36699999999999999</v>
      </c>
      <c r="F336" s="41">
        <v>0.55753753662109373</v>
      </c>
      <c r="G336" s="47">
        <v>0.12354963208365391</v>
      </c>
      <c r="H336" s="49" t="s">
        <v>17</v>
      </c>
      <c r="I336" s="47">
        <v>0.48089999999999999</v>
      </c>
      <c r="J336" s="47">
        <v>0.16159999999999999</v>
      </c>
      <c r="K336" s="47">
        <v>0.154</v>
      </c>
      <c r="L336" s="47">
        <v>0.33600000000000002</v>
      </c>
      <c r="M336" s="47">
        <v>0.28899999999999998</v>
      </c>
      <c r="N336" s="47">
        <v>2.94841893616366E-2</v>
      </c>
      <c r="O336" s="48">
        <v>0.28797999999999996</v>
      </c>
      <c r="P336" s="48">
        <v>2.9237615817024576</v>
      </c>
      <c r="Q336" s="48">
        <v>0</v>
      </c>
    </row>
    <row r="337" spans="1:17" x14ac:dyDescent="0.25">
      <c r="A337" s="25">
        <v>38</v>
      </c>
      <c r="B337" s="5">
        <v>3</v>
      </c>
      <c r="C337" s="6">
        <v>2012</v>
      </c>
      <c r="D337" s="28" t="s">
        <v>59</v>
      </c>
      <c r="E337" s="9">
        <v>0.36699999999999999</v>
      </c>
      <c r="F337" s="41">
        <v>0.55827415466308594</v>
      </c>
      <c r="G337" s="47">
        <v>0.12818448890964279</v>
      </c>
      <c r="H337" s="49" t="s">
        <v>17</v>
      </c>
      <c r="I337" s="47">
        <v>0.48520000000000002</v>
      </c>
      <c r="J337" s="47">
        <v>0.16450000000000001</v>
      </c>
      <c r="K337" s="47">
        <v>0.15179999999999999</v>
      </c>
      <c r="L337" s="47">
        <v>0.26100000000000001</v>
      </c>
      <c r="M337" s="47">
        <v>0.27500000000000002</v>
      </c>
      <c r="N337" s="47">
        <v>2.9756628397701702E-2</v>
      </c>
      <c r="O337" s="48">
        <v>0.29492999999999997</v>
      </c>
      <c r="P337" s="48">
        <v>2.9303940758557814</v>
      </c>
      <c r="Q337" s="48">
        <v>0.29211840629577651</v>
      </c>
    </row>
    <row r="338" spans="1:17" x14ac:dyDescent="0.25">
      <c r="A338" s="25">
        <v>38</v>
      </c>
      <c r="B338" s="5">
        <v>4</v>
      </c>
      <c r="C338" s="6">
        <v>2013</v>
      </c>
      <c r="D338" s="28" t="s">
        <v>59</v>
      </c>
      <c r="E338" s="10">
        <v>0.33200000000000002</v>
      </c>
      <c r="F338" s="41">
        <v>0.55278377532958989</v>
      </c>
      <c r="G338" s="47">
        <v>0.12537333296671058</v>
      </c>
      <c r="H338" s="49" t="s">
        <v>17</v>
      </c>
      <c r="I338" s="47">
        <v>0.48949999999999999</v>
      </c>
      <c r="J338" s="47">
        <v>0.16739999999999999</v>
      </c>
      <c r="K338" s="47">
        <v>0.1497</v>
      </c>
      <c r="L338" s="47">
        <v>0.22699999999999998</v>
      </c>
      <c r="M338" s="47">
        <v>0.28399999999999997</v>
      </c>
      <c r="N338" s="47">
        <v>2.9940616344116502E-2</v>
      </c>
      <c r="O338" s="48">
        <v>0.30196000000000001</v>
      </c>
      <c r="P338" s="48">
        <v>2.9458679934210359</v>
      </c>
      <c r="Q338" s="48">
        <v>0.34212095504706702</v>
      </c>
    </row>
    <row r="339" spans="1:17" x14ac:dyDescent="0.25">
      <c r="A339" s="25">
        <v>38</v>
      </c>
      <c r="B339" s="5">
        <v>5</v>
      </c>
      <c r="C339" s="6">
        <v>2014</v>
      </c>
      <c r="D339" s="28" t="s">
        <v>59</v>
      </c>
      <c r="E339" s="10">
        <v>0.33243600000000001</v>
      </c>
      <c r="F339" s="41">
        <v>0.5480525207519531</v>
      </c>
      <c r="G339" s="47">
        <v>0.1330373480789781</v>
      </c>
      <c r="H339" s="49" t="s">
        <v>17</v>
      </c>
      <c r="I339" s="47">
        <v>0.49380000000000002</v>
      </c>
      <c r="J339" s="47">
        <v>0.17030000000000001</v>
      </c>
      <c r="K339" s="47">
        <v>0.14749999999999999</v>
      </c>
      <c r="L339" s="47">
        <v>0.255</v>
      </c>
      <c r="M339" s="47">
        <v>0.255</v>
      </c>
      <c r="N339" s="47">
        <v>3.0018010574385003E-2</v>
      </c>
      <c r="O339" s="48">
        <v>0.30903999999999998</v>
      </c>
      <c r="P339" s="48">
        <v>2.9608564853012749</v>
      </c>
      <c r="Q339" s="48">
        <v>0.31184190750122098</v>
      </c>
    </row>
    <row r="340" spans="1:17" x14ac:dyDescent="0.25">
      <c r="A340" s="25">
        <v>38</v>
      </c>
      <c r="B340" s="5">
        <v>6</v>
      </c>
      <c r="C340" s="6">
        <v>2015</v>
      </c>
      <c r="D340" s="28" t="s">
        <v>59</v>
      </c>
      <c r="E340" s="12">
        <v>0.3324358</v>
      </c>
      <c r="F340" s="41">
        <v>0.54356365203857426</v>
      </c>
      <c r="G340" s="47">
        <v>0.14613538084423369</v>
      </c>
      <c r="H340" s="49" t="s">
        <v>17</v>
      </c>
      <c r="I340" s="47">
        <v>0.49819999999999998</v>
      </c>
      <c r="J340" s="47">
        <v>0.17319999999999999</v>
      </c>
      <c r="K340" s="47">
        <v>0.14530000000000001</v>
      </c>
      <c r="L340" s="47">
        <v>0.27100000000000002</v>
      </c>
      <c r="M340" s="47">
        <v>0.29499999999999998</v>
      </c>
      <c r="N340" s="47">
        <v>3.0010670407186902E-2</v>
      </c>
      <c r="O340" s="48">
        <v>0.31617000000000001</v>
      </c>
      <c r="P340" s="48">
        <v>2.9727244744138255</v>
      </c>
      <c r="Q340" s="48">
        <v>0.27239490509033198</v>
      </c>
    </row>
    <row r="341" spans="1:17" x14ac:dyDescent="0.25">
      <c r="A341" s="25">
        <v>38</v>
      </c>
      <c r="B341" s="5">
        <v>7</v>
      </c>
      <c r="C341" s="6">
        <v>2016</v>
      </c>
      <c r="D341" s="28" t="s">
        <v>59</v>
      </c>
      <c r="E341" s="10">
        <v>0.3324358</v>
      </c>
      <c r="F341" s="41">
        <v>0.53523624420166016</v>
      </c>
      <c r="G341" s="47">
        <v>0.13670306797678003</v>
      </c>
      <c r="H341" s="49" t="s">
        <v>17</v>
      </c>
      <c r="I341" s="47">
        <v>0.50250000000000006</v>
      </c>
      <c r="J341" s="47">
        <v>0.17610000000000001</v>
      </c>
      <c r="K341" s="47">
        <v>0.1431</v>
      </c>
      <c r="L341" s="47">
        <v>0.34799999999999998</v>
      </c>
      <c r="M341" s="47">
        <v>0.31900000000000001</v>
      </c>
      <c r="N341" s="47">
        <v>2.9975744579928198E-2</v>
      </c>
      <c r="O341" s="48">
        <v>0.32333000000000001</v>
      </c>
      <c r="P341" s="48">
        <v>2.9868416312168096</v>
      </c>
      <c r="Q341" s="48">
        <v>0.26385634284623299</v>
      </c>
    </row>
    <row r="342" spans="1:17" x14ac:dyDescent="0.25">
      <c r="A342" s="25">
        <v>38</v>
      </c>
      <c r="B342" s="5">
        <v>8</v>
      </c>
      <c r="C342" s="6">
        <v>2017</v>
      </c>
      <c r="D342" s="28" t="s">
        <v>59</v>
      </c>
      <c r="E342" s="10">
        <v>0.28427514433860779</v>
      </c>
      <c r="F342" s="41">
        <v>0.5317587280273437</v>
      </c>
      <c r="G342" s="47">
        <v>0.13076512775553389</v>
      </c>
      <c r="H342" s="49" t="s">
        <v>17</v>
      </c>
      <c r="I342" s="47">
        <v>0.50680000000000003</v>
      </c>
      <c r="J342" s="47">
        <v>0.17899999999999999</v>
      </c>
      <c r="K342" s="47">
        <v>0.14099999999999999</v>
      </c>
      <c r="L342" s="47">
        <v>0.4</v>
      </c>
      <c r="M342" s="47">
        <v>0.26700000000000002</v>
      </c>
      <c r="N342" s="47">
        <v>2.9918123029128399E-2</v>
      </c>
      <c r="O342" s="48">
        <v>0.33052999999999999</v>
      </c>
      <c r="P342" s="48">
        <v>3.000818937019881</v>
      </c>
      <c r="Q342" s="48">
        <v>0.268233018045341</v>
      </c>
    </row>
    <row r="343" spans="1:17" x14ac:dyDescent="0.25">
      <c r="A343" s="25">
        <v>38</v>
      </c>
      <c r="B343" s="5">
        <v>9</v>
      </c>
      <c r="C343" s="6">
        <v>2018</v>
      </c>
      <c r="D343" s="28" t="s">
        <v>59</v>
      </c>
      <c r="E343" s="10">
        <v>0.27463141083717346</v>
      </c>
      <c r="F343" s="41">
        <v>0.54100402832031247</v>
      </c>
      <c r="G343" s="47">
        <v>0.12700039399091381</v>
      </c>
      <c r="H343" s="49" t="s">
        <v>17</v>
      </c>
      <c r="I343" s="47">
        <v>0.50680000000000003</v>
      </c>
      <c r="J343" s="47">
        <v>0.17899999999999999</v>
      </c>
      <c r="K343" s="47">
        <v>0.14099999999999999</v>
      </c>
      <c r="L343" s="47">
        <v>0.38600000000000001</v>
      </c>
      <c r="M343" s="47">
        <v>0.21899999999999997</v>
      </c>
      <c r="N343" s="47">
        <v>2.9794806598715803E-2</v>
      </c>
      <c r="O343" s="48">
        <v>0.33776000000000006</v>
      </c>
      <c r="P343" s="48">
        <v>3.0103064280836755</v>
      </c>
      <c r="Q343" s="48">
        <v>0.28773261906476599</v>
      </c>
    </row>
    <row r="344" spans="1:17" x14ac:dyDescent="0.25">
      <c r="A344" s="25">
        <v>39</v>
      </c>
      <c r="B344" s="5">
        <v>1</v>
      </c>
      <c r="C344" s="6">
        <v>2010</v>
      </c>
      <c r="D344" s="36" t="s">
        <v>60</v>
      </c>
      <c r="E344" s="8">
        <v>0.2844177</v>
      </c>
      <c r="F344" s="41">
        <v>0.34773761749267579</v>
      </c>
      <c r="G344" s="47">
        <v>0.15714508170574046</v>
      </c>
      <c r="H344" s="49" t="s">
        <v>41</v>
      </c>
      <c r="I344" s="47">
        <v>0.50570000000000004</v>
      </c>
      <c r="J344" s="47">
        <v>0.1502</v>
      </c>
      <c r="K344" s="47">
        <v>0.1195</v>
      </c>
      <c r="L344" s="47">
        <v>0.17100000000000001</v>
      </c>
      <c r="M344" s="47">
        <v>5.7000000000000002E-2</v>
      </c>
      <c r="N344" s="47">
        <v>2.6962976659217999E-2</v>
      </c>
      <c r="O344" s="48">
        <v>0.37533</v>
      </c>
      <c r="P344" s="48">
        <v>2.8092658640545327</v>
      </c>
      <c r="Q344" s="48">
        <v>0</v>
      </c>
    </row>
    <row r="345" spans="1:17" x14ac:dyDescent="0.25">
      <c r="A345" s="25">
        <v>39</v>
      </c>
      <c r="B345" s="5">
        <v>2</v>
      </c>
      <c r="C345" s="6">
        <v>2011</v>
      </c>
      <c r="D345" s="36" t="s">
        <v>60</v>
      </c>
      <c r="E345" s="8">
        <v>0.28399999999999997</v>
      </c>
      <c r="F345" s="41">
        <v>0.34534900665283202</v>
      </c>
      <c r="G345" s="47">
        <v>0.20086092389272547</v>
      </c>
      <c r="H345" s="49" t="s">
        <v>41</v>
      </c>
      <c r="I345" s="47">
        <v>0.50960000000000005</v>
      </c>
      <c r="J345" s="47">
        <v>0.153</v>
      </c>
      <c r="K345" s="47">
        <v>0.11600000000000001</v>
      </c>
      <c r="L345" s="47">
        <v>0.17100000000000001</v>
      </c>
      <c r="M345" s="47">
        <v>6.6000000000000003E-2</v>
      </c>
      <c r="N345" s="47">
        <v>2.6775325248823298E-2</v>
      </c>
      <c r="O345" s="48">
        <v>0.38031999999999999</v>
      </c>
      <c r="P345" s="48">
        <v>2.8221443874927123</v>
      </c>
      <c r="Q345" s="48">
        <v>0.53693290710449193</v>
      </c>
    </row>
    <row r="346" spans="1:17" x14ac:dyDescent="0.25">
      <c r="A346" s="25">
        <v>39</v>
      </c>
      <c r="B346" s="5">
        <v>3</v>
      </c>
      <c r="C346" s="6">
        <v>2012</v>
      </c>
      <c r="D346" s="36" t="s">
        <v>60</v>
      </c>
      <c r="E346" s="9">
        <v>0.28399999999999997</v>
      </c>
      <c r="F346" s="41">
        <v>0.34643661499023437</v>
      </c>
      <c r="G346" s="47">
        <v>0.21876778457412008</v>
      </c>
      <c r="H346" s="49" t="s">
        <v>41</v>
      </c>
      <c r="I346" s="47">
        <v>0.50119999999999998</v>
      </c>
      <c r="J346" s="47">
        <v>0.1492</v>
      </c>
      <c r="K346" s="47">
        <v>0.1193</v>
      </c>
      <c r="L346" s="47">
        <v>0.161</v>
      </c>
      <c r="M346" s="47">
        <v>7.0999999999999994E-2</v>
      </c>
      <c r="N346" s="47">
        <v>2.6609106073987497E-2</v>
      </c>
      <c r="O346" s="48">
        <v>0.38545999999999997</v>
      </c>
      <c r="P346" s="48">
        <v>2.8372700466613687</v>
      </c>
      <c r="Q346" s="48">
        <v>0</v>
      </c>
    </row>
    <row r="347" spans="1:17" x14ac:dyDescent="0.25">
      <c r="A347" s="25">
        <v>39</v>
      </c>
      <c r="B347" s="5">
        <v>4</v>
      </c>
      <c r="C347" s="6">
        <v>2013</v>
      </c>
      <c r="D347" s="36" t="s">
        <v>60</v>
      </c>
      <c r="E347" s="10">
        <v>0.28399999999999997</v>
      </c>
      <c r="F347" s="41">
        <v>0.34341831207275392</v>
      </c>
      <c r="G347" s="47">
        <v>0.27247542305841072</v>
      </c>
      <c r="H347" s="49" t="s">
        <v>41</v>
      </c>
      <c r="I347" s="47">
        <v>0.49270000000000003</v>
      </c>
      <c r="J347" s="47">
        <v>0.14530000000000001</v>
      </c>
      <c r="K347" s="47">
        <v>0.1226</v>
      </c>
      <c r="L347" s="47">
        <v>0.152</v>
      </c>
      <c r="M347" s="47">
        <v>0.09</v>
      </c>
      <c r="N347" s="47">
        <v>2.6357446846147201E-2</v>
      </c>
      <c r="O347" s="48">
        <v>0.39061000000000001</v>
      </c>
      <c r="P347" s="48">
        <v>2.8507027719714388</v>
      </c>
      <c r="Q347" s="48">
        <v>0</v>
      </c>
    </row>
    <row r="348" spans="1:17" x14ac:dyDescent="0.25">
      <c r="A348" s="25">
        <v>39</v>
      </c>
      <c r="B348" s="5">
        <v>5</v>
      </c>
      <c r="C348" s="6">
        <v>2014</v>
      </c>
      <c r="D348" s="36" t="s">
        <v>60</v>
      </c>
      <c r="E348" s="10">
        <v>0.25034000000000001</v>
      </c>
      <c r="F348" s="41">
        <v>0.34234619140625</v>
      </c>
      <c r="G348" s="47">
        <v>0.25475408179442321</v>
      </c>
      <c r="H348" s="49" t="s">
        <v>41</v>
      </c>
      <c r="I348" s="47">
        <v>0.48430000000000001</v>
      </c>
      <c r="J348" s="47">
        <v>0.1414</v>
      </c>
      <c r="K348" s="47">
        <v>0.12590000000000001</v>
      </c>
      <c r="L348" s="47">
        <v>0.183</v>
      </c>
      <c r="M348" s="47">
        <v>9.6000000000000002E-2</v>
      </c>
      <c r="N348" s="47">
        <v>2.60114952364707E-2</v>
      </c>
      <c r="O348" s="48">
        <v>0.39579000000000003</v>
      </c>
      <c r="P348" s="48">
        <v>2.86349626095268</v>
      </c>
      <c r="Q348" s="48">
        <v>0</v>
      </c>
    </row>
    <row r="349" spans="1:17" x14ac:dyDescent="0.25">
      <c r="A349" s="25">
        <v>39</v>
      </c>
      <c r="B349" s="5">
        <v>6</v>
      </c>
      <c r="C349" s="6">
        <v>2015</v>
      </c>
      <c r="D349" s="36" t="s">
        <v>60</v>
      </c>
      <c r="E349" s="12">
        <v>0.252278</v>
      </c>
      <c r="F349" s="41">
        <v>0.34135215759277343</v>
      </c>
      <c r="G349" s="47">
        <v>0.29175110409239313</v>
      </c>
      <c r="H349" s="49" t="s">
        <v>41</v>
      </c>
      <c r="I349" s="47">
        <v>0.47589999999999999</v>
      </c>
      <c r="J349" s="47">
        <v>0.13750000000000001</v>
      </c>
      <c r="K349" s="47">
        <v>0.12920000000000001</v>
      </c>
      <c r="L349" s="47">
        <v>0.25700000000000001</v>
      </c>
      <c r="M349" s="47">
        <v>0.1</v>
      </c>
      <c r="N349" s="47">
        <v>2.5609997133271299E-2</v>
      </c>
      <c r="O349" s="48">
        <v>0.40100000000000002</v>
      </c>
      <c r="P349" s="48">
        <v>2.8756702411918025</v>
      </c>
      <c r="Q349" s="48">
        <v>0</v>
      </c>
    </row>
    <row r="350" spans="1:17" x14ac:dyDescent="0.25">
      <c r="A350" s="25">
        <v>39</v>
      </c>
      <c r="B350" s="5">
        <v>7</v>
      </c>
      <c r="C350" s="6">
        <v>2016</v>
      </c>
      <c r="D350" s="36" t="s">
        <v>60</v>
      </c>
      <c r="E350" s="10">
        <v>0.252278</v>
      </c>
      <c r="F350" s="41">
        <v>0.33494281768798828</v>
      </c>
      <c r="G350" s="47">
        <v>0.30417088719454055</v>
      </c>
      <c r="H350" s="49" t="s">
        <v>41</v>
      </c>
      <c r="I350" s="47">
        <v>0.48309999999999997</v>
      </c>
      <c r="J350" s="47">
        <v>0.14280000000000001</v>
      </c>
      <c r="K350" s="47">
        <v>0.13020000000000001</v>
      </c>
      <c r="L350" s="47">
        <v>0.27100000000000002</v>
      </c>
      <c r="M350" s="47">
        <v>0.11900000000000001</v>
      </c>
      <c r="N350" s="47">
        <v>2.5186872362231098E-2</v>
      </c>
      <c r="O350" s="48">
        <v>0.40627999999999997</v>
      </c>
      <c r="P350" s="48">
        <v>2.8826819193352846</v>
      </c>
      <c r="Q350" s="48">
        <v>0</v>
      </c>
    </row>
    <row r="351" spans="1:17" x14ac:dyDescent="0.25">
      <c r="A351" s="25">
        <v>39</v>
      </c>
      <c r="B351" s="5">
        <v>8</v>
      </c>
      <c r="C351" s="6">
        <v>2017</v>
      </c>
      <c r="D351" s="36" t="s">
        <v>60</v>
      </c>
      <c r="E351" s="10">
        <v>0.25227800011634827</v>
      </c>
      <c r="F351" s="41">
        <v>0.33505565643310548</v>
      </c>
      <c r="G351" s="47">
        <v>0.2963988488228127</v>
      </c>
      <c r="H351" s="49" t="s">
        <v>41</v>
      </c>
      <c r="I351" s="47">
        <v>0.4904</v>
      </c>
      <c r="J351" s="47">
        <v>0.14810000000000001</v>
      </c>
      <c r="K351" s="47">
        <v>0.1313</v>
      </c>
      <c r="L351" s="47">
        <v>0.25700000000000001</v>
      </c>
      <c r="M351" s="47">
        <v>0.11900000000000001</v>
      </c>
      <c r="N351" s="47">
        <v>2.47933129149683E-2</v>
      </c>
      <c r="O351" s="48">
        <v>0.41161999999999999</v>
      </c>
      <c r="P351" s="48">
        <v>2.8888963076786403</v>
      </c>
      <c r="Q351" s="48">
        <v>0.61238521575927696</v>
      </c>
    </row>
    <row r="352" spans="1:17" x14ac:dyDescent="0.25">
      <c r="A352" s="25">
        <v>39</v>
      </c>
      <c r="B352" s="5">
        <v>9</v>
      </c>
      <c r="C352" s="6">
        <v>2018</v>
      </c>
      <c r="D352" s="36" t="s">
        <v>60</v>
      </c>
      <c r="E352" s="10">
        <v>0.24979479610919952</v>
      </c>
      <c r="F352" s="41">
        <v>0.33010009765624998</v>
      </c>
      <c r="G352" s="47">
        <v>0.27805896497669297</v>
      </c>
      <c r="H352" s="49" t="s">
        <v>41</v>
      </c>
      <c r="I352" s="47">
        <v>0.49759999999999999</v>
      </c>
      <c r="J352" s="47">
        <v>0.15340000000000001</v>
      </c>
      <c r="K352" s="47">
        <v>0.1323</v>
      </c>
      <c r="L352" s="47">
        <v>0.25700000000000001</v>
      </c>
      <c r="M352" s="47">
        <v>0.124</v>
      </c>
      <c r="N352" s="47">
        <v>2.4459038931804802E-2</v>
      </c>
      <c r="O352" s="48">
        <v>0.41702</v>
      </c>
      <c r="P352" s="48">
        <v>2.8985022371919662</v>
      </c>
      <c r="Q352" s="48">
        <v>0</v>
      </c>
    </row>
    <row r="353" spans="1:17" x14ac:dyDescent="0.25">
      <c r="A353" s="25">
        <v>40</v>
      </c>
      <c r="B353" s="5">
        <v>1</v>
      </c>
      <c r="C353" s="6">
        <v>2010</v>
      </c>
      <c r="D353" s="26" t="s">
        <v>61</v>
      </c>
      <c r="E353" s="8">
        <v>1.0468999999999999E-2</v>
      </c>
      <c r="F353" s="41">
        <v>0.36062122344970704</v>
      </c>
      <c r="G353" s="47">
        <v>0.52247103865602051</v>
      </c>
      <c r="H353" s="49" t="s">
        <v>17</v>
      </c>
      <c r="I353" s="47">
        <v>0.53370000000000006</v>
      </c>
      <c r="J353" s="47">
        <v>0.18179999999999999</v>
      </c>
      <c r="K353" s="47">
        <v>0.1333</v>
      </c>
      <c r="L353" s="47">
        <v>0.53799999999999992</v>
      </c>
      <c r="M353" s="47">
        <v>0.61699999999999999</v>
      </c>
      <c r="N353" s="47">
        <v>1.0354454908345001E-2</v>
      </c>
      <c r="O353" s="48">
        <v>0.66657</v>
      </c>
      <c r="P353" s="48">
        <v>3.5918335548891451</v>
      </c>
      <c r="Q353" s="48">
        <v>0</v>
      </c>
    </row>
    <row r="354" spans="1:17" x14ac:dyDescent="0.25">
      <c r="A354" s="25">
        <v>40</v>
      </c>
      <c r="B354" s="5">
        <v>2</v>
      </c>
      <c r="C354" s="6">
        <v>2011</v>
      </c>
      <c r="D354" s="26" t="s">
        <v>61</v>
      </c>
      <c r="E354" s="38">
        <v>0.01</v>
      </c>
      <c r="F354" s="41">
        <v>0.37941379547119142</v>
      </c>
      <c r="G354" s="47">
        <v>0.57934798627126438</v>
      </c>
      <c r="H354" s="49" t="s">
        <v>17</v>
      </c>
      <c r="I354" s="47">
        <v>0.53690000000000004</v>
      </c>
      <c r="J354" s="47">
        <v>0.1704</v>
      </c>
      <c r="K354" s="47">
        <v>0.12659999999999999</v>
      </c>
      <c r="L354" s="47">
        <v>0.56899999999999995</v>
      </c>
      <c r="M354" s="47">
        <v>0.55899999999999994</v>
      </c>
      <c r="N354" s="47">
        <v>9.9758900395605695E-3</v>
      </c>
      <c r="O354" s="48">
        <v>0.66937999999999998</v>
      </c>
      <c r="P354" s="48">
        <v>3.5780367621220268</v>
      </c>
      <c r="Q354" s="48">
        <v>0</v>
      </c>
    </row>
    <row r="355" spans="1:17" x14ac:dyDescent="0.25">
      <c r="A355" s="25">
        <v>40</v>
      </c>
      <c r="B355" s="5">
        <v>3</v>
      </c>
      <c r="C355" s="6">
        <v>2012</v>
      </c>
      <c r="D355" s="26" t="s">
        <v>61</v>
      </c>
      <c r="E355" s="19">
        <v>0.01</v>
      </c>
      <c r="F355" s="41">
        <v>0.37056110382080076</v>
      </c>
      <c r="G355" s="47">
        <v>0.57852042735949372</v>
      </c>
      <c r="H355" s="49" t="s">
        <v>17</v>
      </c>
      <c r="I355" s="47">
        <v>0.53170000000000006</v>
      </c>
      <c r="J355" s="47">
        <v>0.1993</v>
      </c>
      <c r="K355" s="47">
        <v>0.1275</v>
      </c>
      <c r="L355" s="47">
        <v>0.57299999999999995</v>
      </c>
      <c r="M355" s="47">
        <v>0.54</v>
      </c>
      <c r="N355" s="47">
        <v>9.7385231502229788E-3</v>
      </c>
      <c r="O355" s="48">
        <v>0.67218</v>
      </c>
      <c r="P355" s="48">
        <v>3.5910703157547221</v>
      </c>
      <c r="Q355" s="48">
        <v>0</v>
      </c>
    </row>
    <row r="356" spans="1:17" x14ac:dyDescent="0.25">
      <c r="A356" s="25">
        <v>40</v>
      </c>
      <c r="B356" s="5">
        <v>4</v>
      </c>
      <c r="C356" s="6">
        <v>2013</v>
      </c>
      <c r="D356" s="26" t="s">
        <v>61</v>
      </c>
      <c r="E356" s="10">
        <v>0.01</v>
      </c>
      <c r="F356" s="41">
        <v>0.36979183197021487</v>
      </c>
      <c r="G356" s="47">
        <v>0.57959882306519062</v>
      </c>
      <c r="H356" s="49" t="s">
        <v>17</v>
      </c>
      <c r="I356" s="47">
        <v>0.52670000000000006</v>
      </c>
      <c r="J356" s="47">
        <v>0.22700000000000001</v>
      </c>
      <c r="K356" s="47">
        <v>0.12839999999999999</v>
      </c>
      <c r="L356" s="47">
        <v>0.56899999999999995</v>
      </c>
      <c r="M356" s="47">
        <v>0.53100000000000003</v>
      </c>
      <c r="N356" s="47">
        <v>9.7208363540628104E-3</v>
      </c>
      <c r="O356" s="48">
        <v>0.67495000000000005</v>
      </c>
      <c r="P356" s="48">
        <v>3.5963323438939931</v>
      </c>
      <c r="Q356" s="48">
        <v>0</v>
      </c>
    </row>
    <row r="357" spans="1:17" x14ac:dyDescent="0.25">
      <c r="A357" s="25">
        <v>40</v>
      </c>
      <c r="B357" s="5">
        <v>5</v>
      </c>
      <c r="C357" s="6">
        <v>2014</v>
      </c>
      <c r="D357" s="26" t="s">
        <v>61</v>
      </c>
      <c r="E357" s="10">
        <v>4.4689999999999999E-3</v>
      </c>
      <c r="F357" s="41">
        <v>0.3688791275024414</v>
      </c>
      <c r="G357" s="47">
        <v>0.59808555589078238</v>
      </c>
      <c r="H357" s="49" t="s">
        <v>17</v>
      </c>
      <c r="I357" s="47">
        <v>0.52550000000000008</v>
      </c>
      <c r="J357" s="47">
        <v>0.22500000000000001</v>
      </c>
      <c r="K357" s="47">
        <v>0.12870000000000001</v>
      </c>
      <c r="L357" s="47">
        <v>0.55799999999999994</v>
      </c>
      <c r="M357" s="47">
        <v>0.51900000000000002</v>
      </c>
      <c r="N357" s="47">
        <v>1.0015098147196399E-2</v>
      </c>
      <c r="O357" s="48">
        <v>0.6777200000000001</v>
      </c>
      <c r="P357" s="48">
        <v>3.6043993871958868</v>
      </c>
      <c r="Q357" s="48">
        <v>0</v>
      </c>
    </row>
    <row r="358" spans="1:17" x14ac:dyDescent="0.25">
      <c r="A358" s="25">
        <v>40</v>
      </c>
      <c r="B358" s="5">
        <v>6</v>
      </c>
      <c r="C358" s="6">
        <v>2015</v>
      </c>
      <c r="D358" s="26" t="s">
        <v>61</v>
      </c>
      <c r="E358" s="10">
        <v>4.4691000000000002E-3</v>
      </c>
      <c r="F358" s="41">
        <v>0.37557682037353518</v>
      </c>
      <c r="G358" s="47">
        <v>0.60136554139910825</v>
      </c>
      <c r="H358" s="49" t="s">
        <v>17</v>
      </c>
      <c r="I358" s="47">
        <v>0.52829999999999999</v>
      </c>
      <c r="J358" s="47">
        <v>0.2296</v>
      </c>
      <c r="K358" s="47">
        <v>0.128</v>
      </c>
      <c r="L358" s="47">
        <v>0.54299999999999993</v>
      </c>
      <c r="M358" s="47">
        <v>0.495</v>
      </c>
      <c r="N358" s="47">
        <v>1.0498251671466402E-2</v>
      </c>
      <c r="O358" s="48">
        <v>0.68055999999999994</v>
      </c>
      <c r="P358" s="48">
        <v>3.6036798963795413</v>
      </c>
      <c r="Q358" s="48">
        <v>0</v>
      </c>
    </row>
    <row r="359" spans="1:17" x14ac:dyDescent="0.25">
      <c r="A359" s="25">
        <v>40</v>
      </c>
      <c r="B359" s="5">
        <v>7</v>
      </c>
      <c r="C359" s="6">
        <v>2016</v>
      </c>
      <c r="D359" s="26" t="s">
        <v>61</v>
      </c>
      <c r="E359" s="10">
        <v>4.4691000000000002E-3</v>
      </c>
      <c r="F359" s="41">
        <v>0.38047348022460936</v>
      </c>
      <c r="G359" s="47">
        <v>0.62246955467541709</v>
      </c>
      <c r="H359" s="49" t="s">
        <v>17</v>
      </c>
      <c r="I359" s="47">
        <v>0.52690000000000003</v>
      </c>
      <c r="J359" s="47">
        <v>0.2273</v>
      </c>
      <c r="K359" s="47">
        <v>0.12839999999999999</v>
      </c>
      <c r="L359" s="47">
        <v>0.52900000000000003</v>
      </c>
      <c r="M359" s="47">
        <v>0.44299999999999995</v>
      </c>
      <c r="N359" s="47">
        <v>1.1029429551084999E-2</v>
      </c>
      <c r="O359" s="48">
        <v>0.68346000000000007</v>
      </c>
      <c r="P359" s="48">
        <v>3.6037176354926301</v>
      </c>
      <c r="Q359" s="48">
        <v>0</v>
      </c>
    </row>
    <row r="360" spans="1:17" x14ac:dyDescent="0.25">
      <c r="A360" s="25">
        <v>40</v>
      </c>
      <c r="B360" s="5">
        <v>8</v>
      </c>
      <c r="C360" s="6">
        <v>2017</v>
      </c>
      <c r="D360" s="26" t="s">
        <v>61</v>
      </c>
      <c r="E360" s="10">
        <v>4.4690840877592564E-3</v>
      </c>
      <c r="F360" s="41">
        <v>0.38000415802001952</v>
      </c>
      <c r="G360" s="47">
        <v>0.64753728537303146</v>
      </c>
      <c r="H360" s="49" t="s">
        <v>17</v>
      </c>
      <c r="I360" s="47">
        <v>0.52800000000000002</v>
      </c>
      <c r="J360" s="47">
        <v>0.22919999999999999</v>
      </c>
      <c r="K360" s="47">
        <v>0.12809999999999999</v>
      </c>
      <c r="L360" s="47">
        <v>0.51</v>
      </c>
      <c r="M360" s="47">
        <v>0.51</v>
      </c>
      <c r="N360" s="47">
        <v>1.1390705538874999E-2</v>
      </c>
      <c r="O360" s="48">
        <v>0.68641999999999992</v>
      </c>
      <c r="P360" s="48">
        <v>3.6087641643831763</v>
      </c>
      <c r="Q360" s="48">
        <v>0</v>
      </c>
    </row>
    <row r="361" spans="1:17" x14ac:dyDescent="0.25">
      <c r="A361" s="25">
        <v>40</v>
      </c>
      <c r="B361" s="5">
        <v>9</v>
      </c>
      <c r="C361" s="6">
        <v>2018</v>
      </c>
      <c r="D361" s="26" t="s">
        <v>61</v>
      </c>
      <c r="E361" s="10">
        <v>5.2534108981490135E-3</v>
      </c>
      <c r="F361" s="41">
        <v>0.37823772430419922</v>
      </c>
      <c r="G361" s="47">
        <v>0.63522438982530516</v>
      </c>
      <c r="H361" s="49" t="s">
        <v>17</v>
      </c>
      <c r="I361" s="47">
        <v>0.52570000000000006</v>
      </c>
      <c r="J361" s="47">
        <v>0.22539999999999999</v>
      </c>
      <c r="K361" s="47">
        <v>0.12870000000000001</v>
      </c>
      <c r="L361" s="47">
        <v>0.53299999999999992</v>
      </c>
      <c r="M361" s="47">
        <v>0.51900000000000002</v>
      </c>
      <c r="N361" s="47">
        <v>1.1458628510040201E-2</v>
      </c>
      <c r="O361" s="48">
        <v>0.6894499999999999</v>
      </c>
      <c r="P361" s="48">
        <v>3.6157506234477648</v>
      </c>
      <c r="Q361" s="48">
        <v>0</v>
      </c>
    </row>
    <row r="362" spans="1:17" x14ac:dyDescent="0.25">
      <c r="A362" s="25">
        <v>41</v>
      </c>
      <c r="B362" s="5">
        <v>1</v>
      </c>
      <c r="C362" s="6">
        <v>2010</v>
      </c>
      <c r="D362" s="14" t="s">
        <v>62</v>
      </c>
      <c r="E362" s="19">
        <v>0.377</v>
      </c>
      <c r="F362" s="41">
        <v>0.40684989929199217</v>
      </c>
      <c r="G362" s="47"/>
      <c r="H362" s="49" t="s">
        <v>41</v>
      </c>
      <c r="I362" s="47">
        <v>0.52670000000000006</v>
      </c>
      <c r="J362" s="47">
        <v>0.17249999999999999</v>
      </c>
      <c r="K362" s="47">
        <v>0.1313</v>
      </c>
      <c r="L362" s="47">
        <v>0.18600000000000003</v>
      </c>
      <c r="M362" s="47">
        <v>0.35399999999999998</v>
      </c>
      <c r="N362" s="47">
        <v>3.1866098182646602E-2</v>
      </c>
      <c r="O362" s="48">
        <v>0.19383</v>
      </c>
      <c r="P362" s="48">
        <v>2.8857139928151367</v>
      </c>
      <c r="Q362" s="48">
        <v>0.85797889709472697</v>
      </c>
    </row>
    <row r="363" spans="1:17" x14ac:dyDescent="0.25">
      <c r="A363" s="25">
        <v>41</v>
      </c>
      <c r="B363" s="5">
        <v>2</v>
      </c>
      <c r="C363" s="6">
        <v>2011</v>
      </c>
      <c r="D363" s="14" t="s">
        <v>62</v>
      </c>
      <c r="E363" s="19">
        <v>0.377</v>
      </c>
      <c r="F363" s="41">
        <v>0.41035114288330077</v>
      </c>
      <c r="G363" s="47">
        <v>0.11656402515296062</v>
      </c>
      <c r="H363" s="49" t="s">
        <v>41</v>
      </c>
      <c r="I363" s="47">
        <v>0.51250000000000007</v>
      </c>
      <c r="J363" s="47">
        <v>0.16300000000000001</v>
      </c>
      <c r="K363" s="47">
        <v>0.13569999999999999</v>
      </c>
      <c r="L363" s="47">
        <v>0.19</v>
      </c>
      <c r="M363" s="47">
        <v>0.35100000000000003</v>
      </c>
      <c r="N363" s="47">
        <v>3.18245207318546E-2</v>
      </c>
      <c r="O363" s="48">
        <v>0.19897999999999999</v>
      </c>
      <c r="P363" s="48">
        <v>2.9119648943357404</v>
      </c>
      <c r="Q363" s="48">
        <v>0.87768508911132803</v>
      </c>
    </row>
    <row r="364" spans="1:17" x14ac:dyDescent="0.25">
      <c r="A364" s="25">
        <v>41</v>
      </c>
      <c r="B364" s="5">
        <v>3</v>
      </c>
      <c r="C364" s="6">
        <v>2012</v>
      </c>
      <c r="D364" s="14" t="s">
        <v>62</v>
      </c>
      <c r="E364" s="9">
        <v>0.377</v>
      </c>
      <c r="F364" s="41">
        <v>0.40036411285400392</v>
      </c>
      <c r="G364" s="47">
        <v>0.12167649416180661</v>
      </c>
      <c r="H364" s="49" t="s">
        <v>41</v>
      </c>
      <c r="I364" s="47">
        <v>0.49840000000000001</v>
      </c>
      <c r="J364" s="47">
        <v>0.15340000000000001</v>
      </c>
      <c r="K364" s="47">
        <v>0.1401</v>
      </c>
      <c r="L364" s="47">
        <v>0.17100000000000001</v>
      </c>
      <c r="M364" s="47">
        <v>0.32200000000000001</v>
      </c>
      <c r="N364" s="47">
        <v>3.1807502285258499E-2</v>
      </c>
      <c r="O364" s="48">
        <v>0.20424</v>
      </c>
      <c r="P364" s="48">
        <v>2.9157060385088691</v>
      </c>
      <c r="Q364" s="48">
        <v>0</v>
      </c>
    </row>
    <row r="365" spans="1:17" x14ac:dyDescent="0.25">
      <c r="A365" s="25">
        <v>41</v>
      </c>
      <c r="B365" s="5">
        <v>4</v>
      </c>
      <c r="C365" s="6">
        <v>2013</v>
      </c>
      <c r="D365" s="14" t="s">
        <v>62</v>
      </c>
      <c r="E365" s="10">
        <v>0.36699999999999999</v>
      </c>
      <c r="F365" s="41">
        <v>0.4000739288330078</v>
      </c>
      <c r="G365" s="47">
        <v>0.12226230235828908</v>
      </c>
      <c r="H365" s="49" t="s">
        <v>41</v>
      </c>
      <c r="I365" s="47">
        <v>0.50250000000000006</v>
      </c>
      <c r="J365" s="47">
        <v>0.15720000000000001</v>
      </c>
      <c r="K365" s="47">
        <v>0.13789999999999999</v>
      </c>
      <c r="L365" s="47">
        <v>0.13300000000000001</v>
      </c>
      <c r="M365" s="47">
        <v>0.33200000000000002</v>
      </c>
      <c r="N365" s="47">
        <v>3.2337820099357602E-2</v>
      </c>
      <c r="O365" s="48">
        <v>0.20957999999999999</v>
      </c>
      <c r="P365" s="48">
        <v>2.9185485948357113</v>
      </c>
      <c r="Q365" s="48">
        <v>0.87509506225585898</v>
      </c>
    </row>
    <row r="366" spans="1:17" x14ac:dyDescent="0.25">
      <c r="A366" s="25">
        <v>41</v>
      </c>
      <c r="B366" s="5">
        <v>5</v>
      </c>
      <c r="C366" s="6">
        <v>2014</v>
      </c>
      <c r="D366" s="14" t="s">
        <v>62</v>
      </c>
      <c r="E366" s="10">
        <v>0.36695</v>
      </c>
      <c r="F366" s="41">
        <v>0.39590354919433596</v>
      </c>
      <c r="G366" s="47">
        <v>0.1290355961372345</v>
      </c>
      <c r="H366" s="49" t="s">
        <v>41</v>
      </c>
      <c r="I366" s="47">
        <v>0.50660000000000005</v>
      </c>
      <c r="J366" s="47">
        <v>0.16089999999999999</v>
      </c>
      <c r="K366" s="47">
        <v>0.13569999999999999</v>
      </c>
      <c r="L366" s="47">
        <v>0.13</v>
      </c>
      <c r="M366" s="47">
        <v>0.313</v>
      </c>
      <c r="N366" s="47">
        <v>3.3526820776788001E-2</v>
      </c>
      <c r="O366" s="48">
        <v>0.21504000000000001</v>
      </c>
      <c r="P366" s="48">
        <v>2.9273594104617966</v>
      </c>
      <c r="Q366" s="48">
        <v>0.85841522216796906</v>
      </c>
    </row>
    <row r="367" spans="1:17" x14ac:dyDescent="0.25">
      <c r="A367" s="25">
        <v>41</v>
      </c>
      <c r="B367" s="5">
        <v>6</v>
      </c>
      <c r="C367" s="6">
        <v>2015</v>
      </c>
      <c r="D367" s="14" t="s">
        <v>62</v>
      </c>
      <c r="E367" s="12">
        <v>0.36694969999999999</v>
      </c>
      <c r="F367" s="41">
        <v>0.39617637634277342</v>
      </c>
      <c r="G367" s="47">
        <v>0.1376861154197456</v>
      </c>
      <c r="H367" s="49" t="s">
        <v>41</v>
      </c>
      <c r="I367" s="47">
        <v>0.51060000000000005</v>
      </c>
      <c r="J367" s="47">
        <v>0.16470000000000001</v>
      </c>
      <c r="K367" s="47">
        <v>0.13350000000000001</v>
      </c>
      <c r="L367" s="47">
        <v>0.13300000000000001</v>
      </c>
      <c r="M367" s="47">
        <v>0.32400000000000001</v>
      </c>
      <c r="N367" s="47">
        <v>3.49774773005758E-2</v>
      </c>
      <c r="O367" s="48">
        <v>0.22059999999999999</v>
      </c>
      <c r="P367" s="48">
        <v>2.9359778879080562</v>
      </c>
      <c r="Q367" s="48">
        <v>0.86764953613281193</v>
      </c>
    </row>
    <row r="368" spans="1:17" x14ac:dyDescent="0.25">
      <c r="A368" s="25">
        <v>41</v>
      </c>
      <c r="B368" s="5">
        <v>7</v>
      </c>
      <c r="C368" s="6">
        <v>2016</v>
      </c>
      <c r="D368" s="14" t="s">
        <v>62</v>
      </c>
      <c r="E368" s="10">
        <v>0.36694969999999999</v>
      </c>
      <c r="F368" s="41">
        <v>0.39339935302734375</v>
      </c>
      <c r="G368" s="47">
        <v>0.13640088782026208</v>
      </c>
      <c r="H368" s="49" t="s">
        <v>41</v>
      </c>
      <c r="I368" s="47">
        <v>0.51470000000000005</v>
      </c>
      <c r="J368" s="47">
        <v>0.16839999999999999</v>
      </c>
      <c r="K368" s="47">
        <v>0.1313</v>
      </c>
      <c r="L368" s="47">
        <v>0.129</v>
      </c>
      <c r="M368" s="47">
        <v>0.30499999999999999</v>
      </c>
      <c r="N368" s="47">
        <v>3.6568644695837801E-2</v>
      </c>
      <c r="O368" s="48">
        <v>0.22624</v>
      </c>
      <c r="P368" s="48">
        <v>2.9418334914410464</v>
      </c>
      <c r="Q368" s="48">
        <v>0.91170433044433596</v>
      </c>
    </row>
    <row r="369" spans="1:17" x14ac:dyDescent="0.25">
      <c r="A369" s="25">
        <v>41</v>
      </c>
      <c r="B369" s="5">
        <v>8</v>
      </c>
      <c r="C369" s="6">
        <v>2017</v>
      </c>
      <c r="D369" s="14" t="s">
        <v>62</v>
      </c>
      <c r="E369" s="10">
        <v>0.36694967746734619</v>
      </c>
      <c r="F369" s="41">
        <v>0.39693302154541016</v>
      </c>
      <c r="G369" s="47">
        <v>0.13481916702735108</v>
      </c>
      <c r="H369" s="49" t="s">
        <v>41</v>
      </c>
      <c r="I369" s="47">
        <v>0.51800000000000002</v>
      </c>
      <c r="J369" s="47">
        <v>0.18279999999999999</v>
      </c>
      <c r="K369" s="47">
        <v>0.13139999999999999</v>
      </c>
      <c r="L369" s="47">
        <v>0.13800000000000001</v>
      </c>
      <c r="M369" s="47">
        <v>0.3</v>
      </c>
      <c r="N369" s="47">
        <v>3.7556866106738702E-2</v>
      </c>
      <c r="O369" s="48">
        <v>0.23196000000000003</v>
      </c>
      <c r="P369" s="48">
        <v>2.9400649625579529</v>
      </c>
      <c r="Q369" s="48">
        <v>0</v>
      </c>
    </row>
    <row r="370" spans="1:17" x14ac:dyDescent="0.25">
      <c r="A370" s="25">
        <v>41</v>
      </c>
      <c r="B370" s="5">
        <v>9</v>
      </c>
      <c r="C370" s="6">
        <v>2018</v>
      </c>
      <c r="D370" s="14" t="s">
        <v>62</v>
      </c>
      <c r="E370" s="10">
        <v>0.27894493937492371</v>
      </c>
      <c r="F370" s="41">
        <v>0.40345607757568358</v>
      </c>
      <c r="G370" s="47">
        <v>0.1363922942146587</v>
      </c>
      <c r="H370" s="49" t="s">
        <v>41</v>
      </c>
      <c r="I370" s="47">
        <v>0.5212</v>
      </c>
      <c r="J370" s="47">
        <v>0.1971</v>
      </c>
      <c r="K370" s="47">
        <v>0.13150000000000001</v>
      </c>
      <c r="L370" s="47">
        <v>0.13800000000000001</v>
      </c>
      <c r="M370" s="47">
        <v>0.24299999999999999</v>
      </c>
      <c r="N370" s="47">
        <v>3.7251639059251301E-2</v>
      </c>
      <c r="O370" s="48">
        <v>0.23774000000000001</v>
      </c>
      <c r="P370" s="48">
        <v>2.951859489218998</v>
      </c>
      <c r="Q370" s="48">
        <v>0</v>
      </c>
    </row>
    <row r="371" spans="1:17" x14ac:dyDescent="0.25">
      <c r="A371" s="25">
        <v>42</v>
      </c>
      <c r="B371" s="5">
        <v>1</v>
      </c>
      <c r="C371" s="6">
        <v>2010</v>
      </c>
      <c r="D371" s="17" t="s">
        <v>63</v>
      </c>
      <c r="E371" s="8">
        <v>0.32530480000000001</v>
      </c>
      <c r="F371" s="41">
        <v>0.47081886291503905</v>
      </c>
      <c r="G371" s="47"/>
      <c r="H371" s="49" t="s">
        <v>17</v>
      </c>
      <c r="I371" s="47">
        <v>0.58150000000000002</v>
      </c>
      <c r="J371" s="47">
        <v>0.18840000000000001</v>
      </c>
      <c r="K371" s="47">
        <v>9.3600000000000003E-2</v>
      </c>
      <c r="L371" s="47">
        <v>0.376</v>
      </c>
      <c r="M371" s="47">
        <v>0.22</v>
      </c>
      <c r="N371" s="47">
        <v>2.9146549600889998E-2</v>
      </c>
      <c r="O371" s="48">
        <v>0.39354999999999996</v>
      </c>
      <c r="P371" s="48">
        <v>3.0731378492445689</v>
      </c>
      <c r="Q371" s="48">
        <v>0</v>
      </c>
    </row>
    <row r="372" spans="1:17" x14ac:dyDescent="0.25">
      <c r="A372" s="25">
        <v>42</v>
      </c>
      <c r="B372" s="5">
        <v>2</v>
      </c>
      <c r="C372" s="6">
        <v>2011</v>
      </c>
      <c r="D372" s="17" t="s">
        <v>63</v>
      </c>
      <c r="E372" s="8">
        <v>0.32500000000000001</v>
      </c>
      <c r="F372" s="41">
        <v>0.46791046142578124</v>
      </c>
      <c r="G372" s="47">
        <v>0.13692959115362102</v>
      </c>
      <c r="H372" s="49" t="s">
        <v>17</v>
      </c>
      <c r="I372" s="47">
        <v>0.58630000000000004</v>
      </c>
      <c r="J372" s="47">
        <v>0.19500000000000001</v>
      </c>
      <c r="K372" s="47">
        <v>9.0399999999999994E-2</v>
      </c>
      <c r="L372" s="47">
        <v>0.42200000000000004</v>
      </c>
      <c r="M372" s="47">
        <v>0.28000000000000003</v>
      </c>
      <c r="N372" s="47">
        <v>3.02031866512706E-2</v>
      </c>
      <c r="O372" s="48">
        <v>0.39850999999999998</v>
      </c>
      <c r="P372" s="48">
        <v>3.0822338056526557</v>
      </c>
      <c r="Q372" s="48">
        <v>0</v>
      </c>
    </row>
    <row r="373" spans="1:17" x14ac:dyDescent="0.25">
      <c r="A373" s="25">
        <v>42</v>
      </c>
      <c r="B373" s="5">
        <v>3</v>
      </c>
      <c r="C373" s="6">
        <v>2012</v>
      </c>
      <c r="D373" s="17" t="s">
        <v>63</v>
      </c>
      <c r="E373" s="9">
        <v>0.32500000000000001</v>
      </c>
      <c r="F373" s="41">
        <v>0.46545078277587892</v>
      </c>
      <c r="G373" s="47">
        <v>0.15859019046956699</v>
      </c>
      <c r="H373" s="49" t="s">
        <v>17</v>
      </c>
      <c r="I373" s="47">
        <v>0.59120000000000006</v>
      </c>
      <c r="J373" s="47">
        <v>0.2016</v>
      </c>
      <c r="K373" s="47">
        <v>8.72E-2</v>
      </c>
      <c r="L373" s="47">
        <v>0.47899999999999998</v>
      </c>
      <c r="M373" s="47">
        <v>0.38400000000000001</v>
      </c>
      <c r="N373" s="47">
        <v>3.1029140353460098E-2</v>
      </c>
      <c r="O373" s="48">
        <v>0.40354000000000001</v>
      </c>
      <c r="P373" s="48">
        <v>3.0999530722517616</v>
      </c>
      <c r="Q373" s="48">
        <v>0</v>
      </c>
    </row>
    <row r="374" spans="1:17" x14ac:dyDescent="0.25">
      <c r="A374" s="25">
        <v>42</v>
      </c>
      <c r="B374" s="5">
        <v>4</v>
      </c>
      <c r="C374" s="6">
        <v>2013</v>
      </c>
      <c r="D374" s="17" t="s">
        <v>63</v>
      </c>
      <c r="E374" s="10">
        <v>0.32800000000000001</v>
      </c>
      <c r="F374" s="41">
        <v>0.46493022918701171</v>
      </c>
      <c r="G374" s="47">
        <v>0.15816973642666407</v>
      </c>
      <c r="H374" s="49" t="s">
        <v>17</v>
      </c>
      <c r="I374" s="47">
        <v>0.59599999999999997</v>
      </c>
      <c r="J374" s="47">
        <v>0.2082</v>
      </c>
      <c r="K374" s="47">
        <v>8.4099999999999994E-2</v>
      </c>
      <c r="L374" s="47">
        <v>0.46899999999999997</v>
      </c>
      <c r="M374" s="47">
        <v>0.35499999999999998</v>
      </c>
      <c r="N374" s="47">
        <v>3.1399403508130697E-2</v>
      </c>
      <c r="O374" s="48">
        <v>0.40865000000000001</v>
      </c>
      <c r="P374" s="48">
        <v>3.1074711876630126</v>
      </c>
      <c r="Q374" s="48">
        <v>0</v>
      </c>
    </row>
    <row r="375" spans="1:17" x14ac:dyDescent="0.25">
      <c r="A375" s="25">
        <v>42</v>
      </c>
      <c r="B375" s="5">
        <v>5</v>
      </c>
      <c r="C375" s="6">
        <v>2014</v>
      </c>
      <c r="D375" s="17" t="s">
        <v>63</v>
      </c>
      <c r="E375" s="10">
        <v>0.32843099999999997</v>
      </c>
      <c r="F375" s="41">
        <v>0.47036979675292967</v>
      </c>
      <c r="G375" s="47">
        <v>0.17088124693980114</v>
      </c>
      <c r="H375" s="49" t="s">
        <v>17</v>
      </c>
      <c r="I375" s="47">
        <v>0.60140000000000005</v>
      </c>
      <c r="J375" s="47">
        <v>0.21590000000000001</v>
      </c>
      <c r="K375" s="47">
        <v>8.0799999999999997E-2</v>
      </c>
      <c r="L375" s="47">
        <v>0.44700000000000001</v>
      </c>
      <c r="M375" s="47">
        <v>0.317</v>
      </c>
      <c r="N375" s="47">
        <v>3.1212494293415102E-2</v>
      </c>
      <c r="O375" s="48">
        <v>0.41381999999999997</v>
      </c>
      <c r="P375" s="48">
        <v>3.1136133026359669</v>
      </c>
      <c r="Q375" s="48">
        <v>0</v>
      </c>
    </row>
    <row r="376" spans="1:17" x14ac:dyDescent="0.25">
      <c r="A376" s="25">
        <v>42</v>
      </c>
      <c r="B376" s="5">
        <v>6</v>
      </c>
      <c r="C376" s="6">
        <v>2015</v>
      </c>
      <c r="D376" s="17" t="s">
        <v>63</v>
      </c>
      <c r="E376" s="12">
        <v>0.28149619999999997</v>
      </c>
      <c r="F376" s="41">
        <v>0.47356960296630857</v>
      </c>
      <c r="G376" s="47">
        <v>0.1976483406040391</v>
      </c>
      <c r="H376" s="49" t="s">
        <v>17</v>
      </c>
      <c r="I376" s="47">
        <v>0.60630000000000006</v>
      </c>
      <c r="J376" s="47">
        <v>0.22270000000000001</v>
      </c>
      <c r="K376" s="47">
        <v>7.7600000000000002E-2</v>
      </c>
      <c r="L376" s="47">
        <v>0.43799999999999994</v>
      </c>
      <c r="M376" s="47">
        <v>0.3</v>
      </c>
      <c r="N376" s="47">
        <v>3.0666714717129402E-2</v>
      </c>
      <c r="O376" s="48">
        <v>0.41906999999999994</v>
      </c>
      <c r="P376" s="48">
        <v>3.1125640790135387</v>
      </c>
      <c r="Q376" s="48">
        <v>0</v>
      </c>
    </row>
    <row r="377" spans="1:17" x14ac:dyDescent="0.25">
      <c r="A377" s="25">
        <v>42</v>
      </c>
      <c r="B377" s="5">
        <v>7</v>
      </c>
      <c r="C377" s="6">
        <v>2016</v>
      </c>
      <c r="D377" s="17" t="s">
        <v>63</v>
      </c>
      <c r="E377" s="10">
        <v>0.28149619999999997</v>
      </c>
      <c r="F377" s="41">
        <v>0.47960037231445313</v>
      </c>
      <c r="G377" s="47">
        <v>0.15442120506954435</v>
      </c>
      <c r="H377" s="49" t="s">
        <v>17</v>
      </c>
      <c r="I377" s="47">
        <v>0.59889999999999999</v>
      </c>
      <c r="J377" s="47">
        <v>0.21529999999999999</v>
      </c>
      <c r="K377" s="47">
        <v>0.08</v>
      </c>
      <c r="L377" s="47">
        <v>0.41399999999999998</v>
      </c>
      <c r="M377" s="47">
        <v>0.24299999999999999</v>
      </c>
      <c r="N377" s="47">
        <v>3.00293455383552E-2</v>
      </c>
      <c r="O377" s="48">
        <v>0.42438000000000003</v>
      </c>
      <c r="P377" s="48">
        <v>3.1151360691664358</v>
      </c>
      <c r="Q377" s="48">
        <v>0</v>
      </c>
    </row>
    <row r="378" spans="1:17" x14ac:dyDescent="0.25">
      <c r="A378" s="25">
        <v>42</v>
      </c>
      <c r="B378" s="5">
        <v>8</v>
      </c>
      <c r="C378" s="6">
        <v>2017</v>
      </c>
      <c r="D378" s="17" t="s">
        <v>63</v>
      </c>
      <c r="E378" s="10">
        <v>0.28149622678756714</v>
      </c>
      <c r="F378" s="41">
        <v>0.46442955017089843</v>
      </c>
      <c r="G378" s="47">
        <v>0.14906010543813694</v>
      </c>
      <c r="H378" s="49" t="s">
        <v>17</v>
      </c>
      <c r="I378" s="47">
        <v>0.59279999999999999</v>
      </c>
      <c r="J378" s="47">
        <v>0.21029999999999999</v>
      </c>
      <c r="K378" s="47">
        <v>8.2199999999999995E-2</v>
      </c>
      <c r="L378" s="47">
        <v>0.34299999999999997</v>
      </c>
      <c r="M378" s="47">
        <v>0.24299999999999999</v>
      </c>
      <c r="N378" s="47">
        <v>2.9514630479756398E-2</v>
      </c>
      <c r="O378" s="48">
        <v>0.42975999999999998</v>
      </c>
      <c r="P378" s="48">
        <v>3.11686276477915</v>
      </c>
      <c r="Q378" s="48">
        <v>0</v>
      </c>
    </row>
    <row r="379" spans="1:17" x14ac:dyDescent="0.25">
      <c r="A379" s="25">
        <v>42</v>
      </c>
      <c r="B379" s="5">
        <v>9</v>
      </c>
      <c r="C379" s="6">
        <v>2018</v>
      </c>
      <c r="D379" s="17" t="s">
        <v>63</v>
      </c>
      <c r="E379" s="10">
        <v>0.26226338744163513</v>
      </c>
      <c r="F379" s="41">
        <v>0.46224048614501956</v>
      </c>
      <c r="G379" s="47">
        <v>0.14973719234617006</v>
      </c>
      <c r="H379" s="49" t="s">
        <v>17</v>
      </c>
      <c r="I379" s="47">
        <v>0.58550000000000002</v>
      </c>
      <c r="J379" s="47">
        <v>0.20319999999999999</v>
      </c>
      <c r="K379" s="47">
        <v>8.4500000000000006E-2</v>
      </c>
      <c r="L379" s="47">
        <v>0.28100000000000003</v>
      </c>
      <c r="M379" s="47">
        <v>0.28100000000000003</v>
      </c>
      <c r="N379" s="47">
        <v>2.9126532632810197E-2</v>
      </c>
      <c r="O379" s="48">
        <v>0.43520999999999999</v>
      </c>
      <c r="P379" s="48">
        <v>3.1209851505692621</v>
      </c>
      <c r="Q379" s="48">
        <v>0</v>
      </c>
    </row>
    <row r="380" spans="1:17" x14ac:dyDescent="0.25">
      <c r="A380" s="25">
        <v>43</v>
      </c>
      <c r="B380" s="5">
        <v>1</v>
      </c>
      <c r="C380" s="6">
        <v>2010</v>
      </c>
      <c r="D380" s="39" t="s">
        <v>64</v>
      </c>
      <c r="E380" s="8">
        <v>0.1738981</v>
      </c>
      <c r="F380" s="41">
        <v>0.62394996643066403</v>
      </c>
      <c r="G380" s="47">
        <v>0.13543628952853592</v>
      </c>
      <c r="H380" s="49" t="s">
        <v>17</v>
      </c>
      <c r="I380" s="47">
        <v>0.51950000000000007</v>
      </c>
      <c r="J380" s="47">
        <v>0.1729</v>
      </c>
      <c r="K380" s="47">
        <v>0.1226</v>
      </c>
      <c r="L380" s="47">
        <v>2.8999999999999998E-2</v>
      </c>
      <c r="M380" s="47">
        <v>2.8999999999999998E-2</v>
      </c>
      <c r="N380" s="47">
        <v>1.3539638757341701E-2</v>
      </c>
      <c r="O380" s="48">
        <v>0.33195999999999998</v>
      </c>
      <c r="P380" s="48">
        <v>3.023004538462164</v>
      </c>
      <c r="Q380" s="48">
        <v>0</v>
      </c>
    </row>
    <row r="381" spans="1:17" x14ac:dyDescent="0.25">
      <c r="A381" s="25">
        <v>43</v>
      </c>
      <c r="B381" s="5">
        <v>2</v>
      </c>
      <c r="C381" s="6">
        <v>2011</v>
      </c>
      <c r="D381" s="39" t="s">
        <v>64</v>
      </c>
      <c r="E381" s="8">
        <v>0.17399999999999999</v>
      </c>
      <c r="F381" s="41">
        <v>0.61752216339111332</v>
      </c>
      <c r="G381" s="47">
        <v>0.1898323588721956</v>
      </c>
      <c r="H381" s="49" t="s">
        <v>17</v>
      </c>
      <c r="I381" s="47">
        <v>0.52</v>
      </c>
      <c r="J381" s="47">
        <v>0.17369999999999999</v>
      </c>
      <c r="K381" s="47">
        <v>0.1225</v>
      </c>
      <c r="L381" s="47">
        <v>2.4E-2</v>
      </c>
      <c r="M381" s="47">
        <v>5.2000000000000005E-2</v>
      </c>
      <c r="N381" s="47">
        <v>1.5364057163056699E-2</v>
      </c>
      <c r="O381" s="48">
        <v>0.33015</v>
      </c>
      <c r="P381" s="48">
        <v>3.0745672006380627</v>
      </c>
      <c r="Q381" s="48">
        <v>0</v>
      </c>
    </row>
    <row r="382" spans="1:17" x14ac:dyDescent="0.25">
      <c r="A382" s="25">
        <v>43</v>
      </c>
      <c r="B382" s="5">
        <v>3</v>
      </c>
      <c r="C382" s="6">
        <v>2012</v>
      </c>
      <c r="D382" s="39" t="s">
        <v>64</v>
      </c>
      <c r="E382" s="19">
        <v>0.17399999999999999</v>
      </c>
      <c r="F382" s="41">
        <v>0.60489265441894535</v>
      </c>
      <c r="G382" s="47">
        <v>0.20140620221254174</v>
      </c>
      <c r="H382" s="49" t="s">
        <v>17</v>
      </c>
      <c r="I382" s="47">
        <v>0.52</v>
      </c>
      <c r="J382" s="47">
        <v>0.17369999999999999</v>
      </c>
      <c r="K382" s="47">
        <v>0.1225</v>
      </c>
      <c r="L382" s="47">
        <v>1.9E-2</v>
      </c>
      <c r="M382" s="47">
        <v>6.2E-2</v>
      </c>
      <c r="N382" s="47">
        <v>1.6980837305565398E-2</v>
      </c>
      <c r="O382" s="48">
        <v>0.32834000000000002</v>
      </c>
      <c r="P382" s="48">
        <v>3.1310200983615717</v>
      </c>
      <c r="Q382" s="48">
        <v>0.52513191223144506</v>
      </c>
    </row>
    <row r="383" spans="1:17" x14ac:dyDescent="0.25">
      <c r="A383" s="25">
        <v>43</v>
      </c>
      <c r="B383" s="5">
        <v>4</v>
      </c>
      <c r="C383" s="6">
        <v>2013</v>
      </c>
      <c r="D383" s="39" t="s">
        <v>64</v>
      </c>
      <c r="E383" s="10">
        <v>0.17199999999999999</v>
      </c>
      <c r="F383" s="41">
        <v>0.60143707275390623</v>
      </c>
      <c r="G383" s="47">
        <v>0.18731912600950604</v>
      </c>
      <c r="H383" s="49" t="s">
        <v>17</v>
      </c>
      <c r="I383" s="47">
        <v>0.52</v>
      </c>
      <c r="J383" s="47">
        <v>0.17369999999999999</v>
      </c>
      <c r="K383" s="47">
        <v>0.1225</v>
      </c>
      <c r="L383" s="47">
        <v>2.4E-2</v>
      </c>
      <c r="M383" s="47">
        <v>8.5000000000000006E-2</v>
      </c>
      <c r="N383" s="47">
        <v>1.77767247608678E-2</v>
      </c>
      <c r="O383" s="48">
        <v>0.32654000000000005</v>
      </c>
      <c r="P383" s="48">
        <v>3.138571511849948</v>
      </c>
      <c r="Q383" s="48">
        <v>0.51849578857421907</v>
      </c>
    </row>
    <row r="384" spans="1:17" x14ac:dyDescent="0.25">
      <c r="A384" s="25">
        <v>43</v>
      </c>
      <c r="B384" s="5">
        <v>5</v>
      </c>
      <c r="C384" s="6">
        <v>2014</v>
      </c>
      <c r="D384" s="39" t="s">
        <v>64</v>
      </c>
      <c r="E384" s="10">
        <v>0.17184099999999999</v>
      </c>
      <c r="F384" s="41">
        <v>0.60275253295898434</v>
      </c>
      <c r="G384" s="47">
        <v>0.19210371382099506</v>
      </c>
      <c r="H384" s="49" t="s">
        <v>17</v>
      </c>
      <c r="I384" s="47">
        <v>0.51950000000000007</v>
      </c>
      <c r="J384" s="47">
        <v>0.1729</v>
      </c>
      <c r="K384" s="47">
        <v>0.1226</v>
      </c>
      <c r="L384" s="47">
        <v>4.2999999999999997E-2</v>
      </c>
      <c r="M384" s="47">
        <v>9.0999999999999998E-2</v>
      </c>
      <c r="N384" s="47">
        <v>1.7547410030553E-2</v>
      </c>
      <c r="O384" s="48">
        <v>0.32504</v>
      </c>
      <c r="P384" s="48">
        <v>3.1390142190153392</v>
      </c>
      <c r="Q384" s="48">
        <v>0</v>
      </c>
    </row>
    <row r="385" spans="1:17" x14ac:dyDescent="0.25">
      <c r="A385" s="25">
        <v>43</v>
      </c>
      <c r="B385" s="5">
        <v>6</v>
      </c>
      <c r="C385" s="6">
        <v>2015</v>
      </c>
      <c r="D385" s="39" t="s">
        <v>64</v>
      </c>
      <c r="E385" s="10">
        <v>0.12687319999999999</v>
      </c>
      <c r="F385" s="41">
        <v>0.60070037841796875</v>
      </c>
      <c r="G385" s="47">
        <v>0.18315685662180686</v>
      </c>
      <c r="H385" s="49" t="s">
        <v>17</v>
      </c>
      <c r="I385" s="47">
        <v>0.51950000000000007</v>
      </c>
      <c r="J385" s="47">
        <v>0.1729</v>
      </c>
      <c r="K385" s="47">
        <v>0.1226</v>
      </c>
      <c r="L385" s="47">
        <v>6.7000000000000004E-2</v>
      </c>
      <c r="M385" s="47">
        <v>0.09</v>
      </c>
      <c r="N385" s="47">
        <v>1.6636935095163299E-2</v>
      </c>
      <c r="O385" s="48">
        <v>0.32384999999999997</v>
      </c>
      <c r="P385" s="48">
        <v>3.1418957066022699</v>
      </c>
      <c r="Q385" s="48">
        <v>0</v>
      </c>
    </row>
    <row r="386" spans="1:17" x14ac:dyDescent="0.25">
      <c r="A386" s="25">
        <v>43</v>
      </c>
      <c r="B386" s="5">
        <v>7</v>
      </c>
      <c r="C386" s="6">
        <v>2016</v>
      </c>
      <c r="D386" s="39" t="s">
        <v>64</v>
      </c>
      <c r="E386" s="10">
        <v>0.12687319999999999</v>
      </c>
      <c r="F386" s="41">
        <v>0.59994132995605465</v>
      </c>
      <c r="G386" s="47">
        <v>0.17098562357322047</v>
      </c>
      <c r="H386" s="49" t="s">
        <v>17</v>
      </c>
      <c r="I386" s="47">
        <v>0.51950000000000007</v>
      </c>
      <c r="J386" s="47">
        <v>0.1729</v>
      </c>
      <c r="K386" s="47">
        <v>0.1226</v>
      </c>
      <c r="L386" s="47">
        <v>9.5000000000000001E-2</v>
      </c>
      <c r="M386" s="47">
        <v>8.5999999999999993E-2</v>
      </c>
      <c r="N386" s="47">
        <v>1.54929408793871E-2</v>
      </c>
      <c r="O386" s="48">
        <v>0.32295999999999997</v>
      </c>
      <c r="P386" s="48">
        <v>3.1397621077721709</v>
      </c>
      <c r="Q386" s="48">
        <v>0</v>
      </c>
    </row>
    <row r="387" spans="1:17" x14ac:dyDescent="0.25">
      <c r="A387" s="25">
        <v>43</v>
      </c>
      <c r="B387" s="5">
        <v>8</v>
      </c>
      <c r="C387" s="6">
        <v>2017</v>
      </c>
      <c r="D387" s="39" t="s">
        <v>64</v>
      </c>
      <c r="E387" s="10">
        <v>0.15199281275272369</v>
      </c>
      <c r="F387" s="41">
        <v>0.60103473663330076</v>
      </c>
      <c r="G387" s="47">
        <v>5.8100618629161403E-2</v>
      </c>
      <c r="H387" s="49" t="s">
        <v>17</v>
      </c>
      <c r="I387" s="47">
        <v>0.51950000000000007</v>
      </c>
      <c r="J387" s="47">
        <v>0.1729</v>
      </c>
      <c r="K387" s="47">
        <v>0.1226</v>
      </c>
      <c r="L387" s="47">
        <v>9.5000000000000001E-2</v>
      </c>
      <c r="M387" s="47">
        <v>8.5999999999999993E-2</v>
      </c>
      <c r="N387" s="47">
        <v>1.45940581314681E-2</v>
      </c>
      <c r="O387" s="48">
        <v>0.32237000000000005</v>
      </c>
      <c r="P387" s="48">
        <v>3.1508642579882085</v>
      </c>
      <c r="Q387" s="48">
        <v>0</v>
      </c>
    </row>
    <row r="388" spans="1:17" x14ac:dyDescent="0.25">
      <c r="A388" s="25">
        <v>43</v>
      </c>
      <c r="B388" s="5">
        <v>9</v>
      </c>
      <c r="C388" s="6">
        <v>2018</v>
      </c>
      <c r="D388" s="39" t="s">
        <v>64</v>
      </c>
      <c r="E388" s="10">
        <v>0.14887417852878571</v>
      </c>
      <c r="F388" s="41">
        <v>0.58677005767822299</v>
      </c>
      <c r="G388" s="47">
        <v>5.8302649692319027E-2</v>
      </c>
      <c r="H388" s="49" t="s">
        <v>17</v>
      </c>
      <c r="I388" s="47">
        <v>0.51950000000000007</v>
      </c>
      <c r="J388" s="47">
        <v>0.1729</v>
      </c>
      <c r="K388" s="47">
        <v>0.1226</v>
      </c>
      <c r="L388" s="47">
        <v>0.1</v>
      </c>
      <c r="M388" s="47">
        <v>8.5999999999999993E-2</v>
      </c>
      <c r="N388" s="47">
        <v>1.4103815423332699E-2</v>
      </c>
      <c r="O388" s="48">
        <v>0.32209000000000004</v>
      </c>
      <c r="P388" s="48">
        <v>3.165634598263007</v>
      </c>
      <c r="Q388" s="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"/>
  <sheetViews>
    <sheetView tabSelected="1" workbookViewId="0">
      <selection sqref="A1:B14"/>
    </sheetView>
  </sheetViews>
  <sheetFormatPr baseColWidth="10" defaultRowHeight="15" x14ac:dyDescent="0.25"/>
  <cols>
    <col min="1" max="1" width="23.5703125" bestFit="1" customWidth="1"/>
    <col min="2" max="2" width="45.5703125" bestFit="1" customWidth="1"/>
  </cols>
  <sheetData>
    <row r="1" spans="1:2" ht="21" x14ac:dyDescent="0.35">
      <c r="A1" s="54" t="s">
        <v>68</v>
      </c>
      <c r="B1" s="54" t="s">
        <v>69</v>
      </c>
    </row>
    <row r="2" spans="1:2" ht="21" x14ac:dyDescent="0.35">
      <c r="A2" s="55" t="s">
        <v>66</v>
      </c>
      <c r="B2" s="54" t="s">
        <v>67</v>
      </c>
    </row>
    <row r="3" spans="1:2" ht="21" x14ac:dyDescent="0.35">
      <c r="A3" s="56" t="s">
        <v>5</v>
      </c>
      <c r="B3" s="54" t="s">
        <v>70</v>
      </c>
    </row>
    <row r="4" spans="1:2" ht="21" x14ac:dyDescent="0.35">
      <c r="A4" s="57" t="s">
        <v>4</v>
      </c>
      <c r="B4" s="54" t="s">
        <v>71</v>
      </c>
    </row>
    <row r="5" spans="1:2" ht="21" x14ac:dyDescent="0.35">
      <c r="A5" s="58" t="s">
        <v>65</v>
      </c>
      <c r="B5" s="54" t="s">
        <v>72</v>
      </c>
    </row>
    <row r="6" spans="1:2" ht="21" x14ac:dyDescent="0.35">
      <c r="A6" s="59" t="s">
        <v>6</v>
      </c>
      <c r="B6" s="54" t="s">
        <v>73</v>
      </c>
    </row>
    <row r="7" spans="1:2" ht="21" x14ac:dyDescent="0.35">
      <c r="A7" s="59" t="s">
        <v>7</v>
      </c>
      <c r="B7" s="54" t="s">
        <v>74</v>
      </c>
    </row>
    <row r="8" spans="1:2" ht="21" x14ac:dyDescent="0.35">
      <c r="A8" s="59" t="s">
        <v>8</v>
      </c>
      <c r="B8" s="54" t="s">
        <v>75</v>
      </c>
    </row>
    <row r="9" spans="1:2" ht="42" x14ac:dyDescent="0.35">
      <c r="A9" s="59" t="s">
        <v>9</v>
      </c>
      <c r="B9" s="54" t="s">
        <v>76</v>
      </c>
    </row>
    <row r="10" spans="1:2" ht="42" x14ac:dyDescent="0.35">
      <c r="A10" s="59" t="s">
        <v>10</v>
      </c>
      <c r="B10" s="54" t="s">
        <v>77</v>
      </c>
    </row>
    <row r="11" spans="1:2" ht="21" x14ac:dyDescent="0.35">
      <c r="A11" s="58" t="s">
        <v>11</v>
      </c>
      <c r="B11" s="54" t="s">
        <v>78</v>
      </c>
    </row>
    <row r="12" spans="1:2" ht="21" x14ac:dyDescent="0.35">
      <c r="A12" s="58" t="s">
        <v>12</v>
      </c>
      <c r="B12" s="54" t="s">
        <v>12</v>
      </c>
    </row>
    <row r="13" spans="1:2" ht="21" x14ac:dyDescent="0.35">
      <c r="A13" s="58" t="s">
        <v>13</v>
      </c>
      <c r="B13" s="54" t="s">
        <v>79</v>
      </c>
    </row>
    <row r="14" spans="1:2" ht="21" x14ac:dyDescent="0.35">
      <c r="A14" s="60" t="s">
        <v>15</v>
      </c>
      <c r="B14" s="54" t="s">
        <v>80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MENDOUA Bilounga Joseph Roine</dc:creator>
  <cp:lastModifiedBy>MENDOUA Bilounga Joseph Roine</cp:lastModifiedBy>
  <cp:lastPrinted>2025-04-02T12:23:48Z</cp:lastPrinted>
  <dcterms:created xsi:type="dcterms:W3CDTF">2025-04-02T10:21:45Z</dcterms:created>
  <dcterms:modified xsi:type="dcterms:W3CDTF">2025-04-02T12:23:57Z</dcterms:modified>
</cp:coreProperties>
</file>